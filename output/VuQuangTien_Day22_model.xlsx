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be50dfe0444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Cost_Job" sheetId="1" r:id="R06f46ba709144bdf"/>
    <x:sheet xmlns:r="http://schemas.openxmlformats.org/officeDocument/2006/relationships" name="2_Pricing" sheetId="2" r:id="R9cf107da00864248"/>
    <x:sheet xmlns:r="http://schemas.openxmlformats.org/officeDocument/2006/relationships" name="3_Value_Metric" sheetId="3" r:id="R31986191faee4c44"/>
    <x:sheet xmlns:r="http://schemas.openxmlformats.org/officeDocument/2006/relationships" name="4_Channel_Fit" sheetId="4" r:id="R7a0d5d0d850b45ff"/>
    <x:sheet xmlns:r="http://schemas.openxmlformats.org/officeDocument/2006/relationships" name="5_90D_Evidence" sheetId="5" r:id="R0bde76a757c94c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"/>
    <x:numFmt numFmtId="201" formatCode="0"/>
    <x:numFmt numFmtId="202" formatCode="$0.000"/>
    <x:numFmt numFmtId="203" formatCode="$0.0000"/>
    <x:numFmt numFmtId="204" formatCode="$0.00"/>
    <x:numFmt numFmtId="205" formatCode="0%"/>
    <x:numFmt numFmtId="206" formatCode="0.00x"/>
    <x:numFmt numFmtId="207" formatCode="0.00"/>
  </x:numFmts>
  <x:fonts count="1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6666"/>
      <x:name val="Carlito"/>
    </x:font>
    <x:font>
      <x:b/>
      <x:sz val="11"/>
      <x:color rgb="FF1F2937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  <x:font>
      <x:sz val="11"/>
      <x:color rgb="FF0563C1"/>
      <x:name val="Carlito"/>
    </x:font>
    <x:font>
      <x:b/>
      <x:sz val="16"/>
      <x:color rgb="FFFFFFFF"/>
      <x:name val="Arial"/>
    </x:font>
    <x:font>
      <x:sz val="11"/>
      <x:name val="Arial"/>
    </x:font>
    <x:font>
      <x:i/>
      <x:sz val="10"/>
      <x:color rgb="FF666666"/>
      <x:name val="Arial"/>
    </x:font>
    <x:font>
      <x:b/>
      <x:sz val="11"/>
      <x:color rgb="FF1F2937"/>
      <x:name val="Arial"/>
    </x:font>
    <x:font>
      <x:b/>
      <x:sz val="11"/>
      <x:name val="Arial"/>
    </x:font>
    <x:font>
      <x:i/>
      <x:sz val="9"/>
      <x:color rgb="FF666666"/>
      <x:name val="Arial"/>
    </x:font>
    <x:font>
      <x:b/>
      <x:sz val="11"/>
      <x:color rgb="FFFFFFFF"/>
      <x:name val="Arial"/>
    </x:font>
    <x:font>
      <x:sz val="11"/>
      <x:color rgb="FF0563C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4">
    <x:border/>
    <x:border>
      <x:bottom style="medium">
        <x:color rgb="FF17365D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0" borderId="3" xfId="0" applyNumberFormat="1" applyFont="1" applyFill="1" applyBorder="1"/>
    <x:xf numFmtId="0" fontId="0" fillId="4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center"/>
    </x:xf>
    <x:xf numFmtId="0" fontId="0" fillId="4" borderId="3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0" borderId="0" xfId="0" applyNumberFormat="1" applyFont="1" applyFill="1" applyBorder="1"/>
    <x:xf numFmtId="0" fontId="5" fillId="2" borderId="3" xfId="0" applyNumberFormat="1" applyFont="1" applyFill="1" applyBorder="1"/>
    <x:xf numFmtId="0" fontId="0" fillId="0" borderId="3" xfId="0" applyNumberFormat="1" applyFont="1" applyFill="1" applyBorder="1"/>
    <x:xf numFmtId="0" fontId="0" fillId="4" borderId="3" xfId="0" applyNumberFormat="1" applyFont="1" applyFill="1" applyBorder="1"/>
    <x:xf numFmtId="200" fontId="0" fillId="4" borderId="3" xfId="0" applyNumberFormat="1" applyFont="1" applyFill="1" applyBorder="1"/>
    <x:xf numFmtId="201" fontId="0" fillId="0" borderId="3" xfId="0" applyNumberFormat="1" applyFont="1" applyFill="1" applyBorder="1"/>
    <x:xf numFmtId="0" fontId="5" fillId="2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4" borderId="3" xfId="0" applyNumberFormat="1" applyFont="1" applyFill="1" applyBorder="1" applyAlignment="1">
      <x:alignment vertical="center"/>
    </x:xf>
    <x:xf numFmtId="200" fontId="0" fillId="4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3" xfId="0" applyNumberFormat="1" applyFont="1" applyFill="1" applyBorder="1"/>
    <x:xf numFmtId="0" fontId="0" fillId="5" borderId="3" xfId="0" applyNumberFormat="1" applyFont="1" applyFill="1" applyBorder="1" applyAlignment="1">
      <x:alignment vertical="center"/>
    </x:xf>
    <x:xf numFmtId="202" fontId="0" fillId="4" borderId="3" xfId="0" applyNumberFormat="1" applyFont="1" applyFill="1" applyBorder="1" applyAlignment="1">
      <x:alignment vertical="center"/>
    </x:xf>
    <x:xf numFmtId="203" fontId="0" fillId="5" borderId="3" xfId="0" applyNumberFormat="1" applyFont="1" applyFill="1" applyBorder="1" applyAlignment="1">
      <x:alignment vertical="center"/>
    </x:xf>
    <x:xf numFmtId="203" fontId="0" fillId="4" borderId="3" xfId="0" applyNumberFormat="1" applyFont="1" applyFill="1" applyBorder="1" applyAlignment="1">
      <x:alignment vertical="center"/>
    </x:xf>
    <x:xf numFmtId="204" fontId="0" fillId="5" borderId="3" xfId="0" applyNumberFormat="1" applyFont="1" applyFill="1" applyBorder="1" applyAlignment="1">
      <x:alignment vertical="center"/>
    </x:xf>
    <x:xf numFmtId="203" fontId="0" fillId="5" borderId="0" xfId="0" applyNumberFormat="1" applyFont="1" applyFill="1" applyBorder="1"/>
    <x:xf numFmtId="200" fontId="0" fillId="5" borderId="0" xfId="0" applyNumberFormat="1" applyFont="1" applyFill="1" applyBorder="1"/>
    <x:xf numFmtId="203" fontId="0" fillId="5" borderId="3" xfId="0" applyNumberFormat="1" applyFont="1" applyFill="1" applyBorder="1"/>
    <x:xf numFmtId="200" fontId="0" fillId="5" borderId="3" xfId="0" applyNumberFormat="1" applyFont="1" applyFill="1" applyBorder="1"/>
    <x:xf numFmtId="200" fontId="0" fillId="5" borderId="3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4" borderId="0" xfId="0" applyNumberFormat="1" applyFont="1" applyFill="1" applyBorder="1"/>
    <x:xf numFmtId="200" fontId="0" fillId="0" borderId="0" xfId="0" applyNumberFormat="1" applyFont="1" applyFill="1" applyBorder="1"/>
    <x:xf numFmtId="204" fontId="0" fillId="4" borderId="0" xfId="0" applyNumberFormat="1" applyFont="1" applyFill="1" applyBorder="1"/>
    <x:xf numFmtId="204" fontId="0" fillId="0" borderId="0" xfId="0" applyNumberFormat="1" applyFont="1" applyFill="1" applyBorder="1"/>
    <x:xf numFmtId="203" fontId="0" fillId="0" borderId="3" xfId="0" applyNumberFormat="1" applyFont="1" applyFill="1" applyBorder="1"/>
    <x:xf numFmtId="203" fontId="0" fillId="4" borderId="3" xfId="0" applyNumberFormat="1" applyFont="1" applyFill="1" applyBorder="1"/>
    <x:xf numFmtId="200" fontId="0" fillId="0" borderId="3" xfId="0" applyNumberFormat="1" applyFont="1" applyFill="1" applyBorder="1"/>
    <x:xf numFmtId="204" fontId="0" fillId="4" borderId="3" xfId="0" applyNumberFormat="1" applyFont="1" applyFill="1" applyBorder="1"/>
    <x:xf numFmtId="204" fontId="0" fillId="0" borderId="3" xfId="0" applyNumberFormat="1" applyFont="1" applyFill="1" applyBorder="1"/>
    <x:xf numFmtId="203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4" fontId="0" fillId="4" borderId="3" xfId="0" applyNumberFormat="1" applyFont="1" applyFill="1" applyBorder="1" applyAlignment="1">
      <x:alignment vertical="center"/>
    </x:xf>
    <x:xf numFmtId="204" fontId="0" fillId="0" borderId="3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205" fontId="0" fillId="0" borderId="3" xfId="0" applyNumberFormat="1" applyFont="1" applyFill="1" applyBorder="1"/>
    <x:xf numFmtId="205" fontId="0" fillId="0" borderId="3" xfId="0" applyNumberFormat="1" applyFont="1" applyFill="1" applyBorder="1" applyAlignment="1">
      <x:alignment vertical="center"/>
    </x:xf>
    <x:xf numFmtId="201" fontId="0" fillId="4" borderId="0" xfId="0" applyNumberFormat="1" applyFont="1" applyFill="1" applyBorder="1"/>
    <x:xf numFmtId="201" fontId="0" fillId="4" borderId="3" xfId="0" applyNumberFormat="1" applyFont="1" applyFill="1" applyBorder="1"/>
    <x:xf numFmtId="201" fontId="0" fillId="4" borderId="3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6" fontId="0" fillId="0" borderId="3" xfId="0" applyNumberFormat="1" applyFont="1" applyFill="1" applyBorder="1"/>
    <x:xf numFmtId="207" fontId="0" fillId="0" borderId="3" xfId="0" applyNumberFormat="1" applyFont="1" applyFill="1" applyBorder="1"/>
    <x:xf numFmtId="206" fontId="0" fillId="0" borderId="3" xfId="0" applyNumberFormat="1" applyFont="1" applyFill="1" applyBorder="1" applyAlignment="1">
      <x:alignment vertical="center"/>
    </x:xf>
    <x:xf numFmtId="207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9" fillId="0" borderId="1" xfId="0" applyNumberFormat="1" applyFont="1" applyFill="1" applyBorder="1"/>
    <x:xf numFmtId="0" fontId="11" fillId="3" borderId="2" xfId="0" applyNumberFormat="1" applyFont="1" applyFill="1" applyBorder="1"/>
    <x:xf numFmtId="0" fontId="12" fillId="0" borderId="3" xfId="0" applyNumberFormat="1" applyFont="1" applyFill="1" applyBorder="1" applyAlignment="1">
      <x:alignment vertical="center"/>
    </x:xf>
    <x:xf numFmtId="0" fontId="9" fillId="4" borderId="3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wrapText="1"/>
    </x:xf>
    <x:xf numFmtId="0" fontId="14" fillId="2" borderId="3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/>
    </x:xf>
    <x:xf numFmtId="0" fontId="9" fillId="4" borderId="3" xfId="0" applyNumberFormat="1" applyFont="1" applyFill="1" applyBorder="1" applyAlignment="1">
      <x:alignment vertical="center"/>
    </x:xf>
    <x:xf numFmtId="200" fontId="9" fillId="4" borderId="3" xfId="0" applyNumberFormat="1" applyFont="1" applyFill="1" applyBorder="1" applyAlignment="1">
      <x:alignment vertical="center"/>
    </x:xf>
    <x:xf numFmtId="201" fontId="9" fillId="0" borderId="3" xfId="0" applyNumberFormat="1" applyFont="1" applyFill="1" applyBorder="1" applyAlignment="1">
      <x:alignment vertical="center"/>
    </x:xf>
    <x:xf numFmtId="202" fontId="9" fillId="4" borderId="3" xfId="0" applyNumberFormat="1" applyFont="1" applyFill="1" applyBorder="1" applyAlignment="1">
      <x:alignment vertical="center"/>
    </x:xf>
    <x:xf numFmtId="203" fontId="9" fillId="5" borderId="3" xfId="0" applyNumberFormat="1" applyFont="1" applyFill="1" applyBorder="1" applyAlignment="1">
      <x:alignment vertical="center"/>
    </x:xf>
    <x:xf numFmtId="204" fontId="9" fillId="5" borderId="3" xfId="0" applyNumberFormat="1" applyFont="1" applyFill="1" applyBorder="1" applyAlignment="1">
      <x:alignment vertical="center"/>
    </x:xf>
    <x:xf numFmtId="203" fontId="9" fillId="4" borderId="3" xfId="0" applyNumberFormat="1" applyFont="1" applyFill="1" applyBorder="1" applyAlignment="1">
      <x:alignment vertical="center"/>
    </x:xf>
    <x:xf numFmtId="200" fontId="9" fillId="5" borderId="3" xfId="0" applyNumberFormat="1" applyFont="1" applyFill="1" applyBorder="1" applyAlignment="1">
      <x:alignment vertical="center"/>
    </x:xf>
    <x:xf numFmtId="203" fontId="9" fillId="0" borderId="3" xfId="0" applyNumberFormat="1" applyFont="1" applyFill="1" applyBorder="1" applyAlignment="1">
      <x:alignment vertical="center"/>
    </x:xf>
    <x:xf numFmtId="200" fontId="9" fillId="0" borderId="3" xfId="0" applyNumberFormat="1" applyFont="1" applyFill="1" applyBorder="1" applyAlignment="1">
      <x:alignment vertical="center"/>
    </x:xf>
    <x:xf numFmtId="204" fontId="9" fillId="4" borderId="3" xfId="0" applyNumberFormat="1" applyFont="1" applyFill="1" applyBorder="1" applyAlignment="1">
      <x:alignment vertical="center"/>
    </x:xf>
    <x:xf numFmtId="204" fontId="9" fillId="0" borderId="3" xfId="0" applyNumberFormat="1" applyFont="1" applyFill="1" applyBorder="1" applyAlignment="1">
      <x:alignment vertical="center"/>
    </x:xf>
    <x:xf numFmtId="205" fontId="9" fillId="0" borderId="3" xfId="0" applyNumberFormat="1" applyFont="1" applyFill="1" applyBorder="1" applyAlignment="1">
      <x:alignment vertical="center"/>
    </x:xf>
    <x:xf numFmtId="201" fontId="9" fillId="4" borderId="3" xfId="0" applyNumberFormat="1" applyFont="1" applyFill="1" applyBorder="1" applyAlignment="1">
      <x:alignment vertical="center"/>
    </x:xf>
    <x:xf numFmtId="0" fontId="15" fillId="0" borderId="3" xfId="0" applyNumberFormat="1" applyFont="1" applyFill="1" applyBorder="1" applyAlignment="1">
      <x:alignment vertical="center"/>
    </x:xf>
    <x:xf numFmtId="206" fontId="9" fillId="0" borderId="3" xfId="0" applyNumberFormat="1" applyFont="1" applyFill="1" applyBorder="1" applyAlignment="1">
      <x:alignment vertical="center"/>
    </x:xf>
    <x:xf numFmtId="207" fontId="9" fillId="0" borderId="3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4ef458bcf24c92" /><Relationship Type="http://schemas.openxmlformats.org/officeDocument/2006/relationships/theme" Target="/xl/theme/theme1.xml" Id="R1a844741de654831" /><Relationship Type="http://schemas.openxmlformats.org/officeDocument/2006/relationships/sharedStrings" Target="/xl/sharedStrings.xml" Id="Ra9d7a1720fcb453e" /><Relationship Type="http://schemas.openxmlformats.org/officeDocument/2006/relationships/worksheet" Target="/xl/worksheets/sheet1.xml" Id="R06f46ba709144bdf" /><Relationship Type="http://schemas.openxmlformats.org/officeDocument/2006/relationships/worksheet" Target="/xl/worksheets/sheet2.xml" Id="R9cf107da00864248" /><Relationship Type="http://schemas.openxmlformats.org/officeDocument/2006/relationships/worksheet" Target="/xl/worksheets/sheet3.xml" Id="R31986191faee4c44" /><Relationship Type="http://schemas.openxmlformats.org/officeDocument/2006/relationships/worksheet" Target="/xl/worksheets/sheet4.xml" Id="R7a0d5d0d850b45ff" /><Relationship Type="http://schemas.openxmlformats.org/officeDocument/2006/relationships/worksheet" Target="/xl/worksheets/sheet5.xml" Id="R0bde76a757c94c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22" hidden="0" customWidth="1"/>
    <x:col min="4" max="4" width="20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76" t="str">
        <x:v>1. Cost / Job</x:v>
      </x:c>
      <x:c r="B1" s="77"/>
      <x:c r="C1" s="77"/>
      <x:c r="D1" s="77"/>
      <x:c r="E1" s="77"/>
      <x:c r="F1" s="77"/>
      <x:c r="G1" s="77"/>
      <x:c r="H1" s="77"/>
    </x:row>
    <x:row r="2" ht="24" customHeight="1">
      <x:c r="A2" s="78" t="str">
        <x:v>Case mô phỏng có gắn nhãn - AI xử lý hậu mãi cho D2C Shopify/Gorgias | USD | kiểm tra giá: 08/10/2026</x:v>
      </x:c>
      <x:c r="B2" s="77"/>
      <x:c r="C2" s="77"/>
      <x:c r="D2" s="77"/>
      <x:c r="E2" s="77"/>
      <x:c r="F2" s="77"/>
      <x:c r="G2" s="77"/>
      <x:c r="H2" s="77"/>
    </x:row>
    <x:row r="3">
      <x:c r="A3" s="79"/>
      <x:c r="B3" s="79"/>
      <x:c r="C3" s="79"/>
      <x:c r="D3" s="79"/>
      <x:c r="E3" s="79"/>
      <x:c r="F3" s="79"/>
      <x:c r="G3" s="79"/>
      <x:c r="H3" s="79"/>
    </x:row>
    <x:row r="4">
      <x:c r="A4" s="77"/>
      <x:c r="B4" s="77"/>
      <x:c r="C4" s="77"/>
      <x:c r="D4" s="77"/>
      <x:c r="E4" s="77"/>
      <x:c r="F4" s="77"/>
      <x:c r="G4" s="77"/>
      <x:c r="H4" s="77"/>
    </x:row>
    <x:row r="5">
      <x:c r="A5" s="80" t="str">
        <x:v>S1. Job và phạm vi chịu chi phí</x:v>
      </x:c>
      <x:c r="B5" s="77"/>
      <x:c r="C5" s="77"/>
      <x:c r="D5" s="77"/>
      <x:c r="E5" s="77"/>
      <x:c r="F5" s="77"/>
      <x:c r="G5" s="77"/>
      <x:c r="H5" s="77"/>
    </x:row>
    <x:row r="6">
      <x:c r="A6" s="81" t="str">
        <x:v>Sản phẩm</x:v>
      </x:c>
      <x:c r="B6" s="82" t="str">
        <x:v>RetourAI - managed AI agent cho yêu cầu đổi trả / theo dõi đơn hàng</x:v>
      </x:c>
      <x:c r="C6" s="77"/>
      <x:c r="D6" s="77"/>
      <x:c r="E6" s="77"/>
      <x:c r="F6" s="83" t="str">
        <x:v>Kiểm soát chấm điểm: Retry=8%; HITL QA=5%; escalation B có $0.18/ticket incoming. Tất cả đều khác 0.</x:v>
      </x:c>
      <x:c r="G6" s="77"/>
      <x:c r="H6" s="77"/>
    </x:row>
    <x:row r="7">
      <x:c r="A7" s="81" t="str">
        <x:v>Job hoàn thành / QAE</x:v>
      </x:c>
      <x:c r="B7" s="82" t="str">
        <x:v>1 Qualified Automation Event (QAE): AI hoàn tất hành động hậu mãi trên ticket đủ điều kiện, không handoff ở lượt đầu. No-follow-up 7 ngày là quality/credit gate, không phải claim attribution trên hóa đơn.</x:v>
      </x:c>
      <x:c r="C7" s="77"/>
      <x:c r="D7" s="77"/>
      <x:c r="E7" s="77"/>
      <x:c r="F7" s="77"/>
      <x:c r="G7" s="77"/>
      <x:c r="H7" s="77"/>
    </x:row>
    <x:row r="8">
      <x:c r="A8" s="81" t="str">
        <x:v>Budget line</x:v>
      </x:c>
      <x:c r="B8" s="82" t="str">
        <x:v>Customer Support / outsourced operations; người ký: Head of CX</x:v>
      </x:c>
      <x:c r="C8" s="77"/>
      <x:c r="D8" s="77"/>
      <x:c r="E8" s="77"/>
      <x:c r="F8" s="77"/>
      <x:c r="G8" s="77"/>
      <x:c r="H8" s="77"/>
    </x:row>
    <x:row r="9">
      <x:c r="A9" s="81" t="str">
        <x:v>Biến thể HITL</x:v>
      </x:c>
      <x:c r="B9" s="82" t="str">
        <x:v>B - managed outcome: RetourAI chịu chi phí xử lý escalation để vẫn giao job hoàn thành</x:v>
      </x:c>
      <x:c r="C9" s="77"/>
      <x:c r="D9" s="77"/>
      <x:c r="E9" s="77"/>
      <x:c r="F9" s="77"/>
      <x:c r="G9" s="77"/>
      <x:c r="H9" s="77"/>
    </x:row>
    <x:row r="10">
      <x:c r="A10" s="81" t="str">
        <x:v>Tình trạng dữ liệu</x:v>
      </x:c>
      <x:c r="B10" s="82" t="str">
        <x:v>MÔ PHỎNG: containment 80% là giả định trước pilot, không được trình bày là kết quả eval thật. QAE phải có ticket ID + action + handoff + timestamp.</x:v>
      </x:c>
      <x:c r="C10" s="77"/>
      <x:c r="D10" s="77"/>
      <x:c r="E10" s="77"/>
      <x:c r="F10" s="83" t="str">
        <x:v>Để nộp thật: thay vàng bằng log eval / usage, invoice cloud và 3 báo giá BPO. Đây là bài mô phỏng do đề bài chưa có sản phẩm đầu vào.</x:v>
      </x:c>
      <x:c r="G10" s="77"/>
      <x:c r="H10" s="77"/>
    </x:row>
    <x:row r="11">
      <x:c r="A11" s="77"/>
      <x:c r="B11" s="77"/>
      <x:c r="C11" s="77"/>
      <x:c r="D11" s="77"/>
      <x:c r="E11" s="77"/>
      <x:c r="F11" s="77"/>
      <x:c r="G11" s="77"/>
      <x:c r="H11" s="77"/>
    </x:row>
    <x:row r="12">
      <x:c r="A12" s="80" t="str">
        <x:v>S2. Volume và containment</x:v>
      </x:c>
      <x:c r="B12" s="77"/>
      <x:c r="C12" s="77"/>
      <x:c r="D12" s="77"/>
      <x:c r="E12" s="77"/>
      <x:c r="F12" s="77"/>
      <x:c r="G12" s="77"/>
      <x:c r="H12" s="77"/>
    </x:row>
    <x:row r="13">
      <x:c r="A13" s="84" t="str">
        <x:v>Driver</x:v>
      </x:c>
      <x:c r="B13" s="84" t="str">
        <x:v>Giá trị</x:v>
      </x:c>
      <x:c r="C13" s="84" t="str">
        <x:v>Ghi chú</x:v>
      </x:c>
      <x:c r="D13" s="77"/>
      <x:c r="E13" s="77"/>
      <x:c r="F13" s="77"/>
      <x:c r="G13" s="77"/>
      <x:c r="H13" s="77"/>
    </x:row>
    <x:row r="14">
      <x:c r="A14" s="85" t="str">
        <x:v>Ticket vào / tháng</x:v>
      </x:c>
      <x:c r="B14" s="86" t="n">
        <x:v>1000</x:v>
      </x:c>
      <x:c r="C14" s="85" t="str">
        <x:v>Job thử</x:v>
      </x:c>
      <x:c r="D14" s="77"/>
      <x:c r="E14" s="77"/>
      <x:c r="F14" s="77"/>
      <x:c r="G14" s="77"/>
      <x:c r="H14" s="77"/>
    </x:row>
    <x:row r="15">
      <x:c r="A15" s="85" t="str">
        <x:v>Containment rate</x:v>
      </x:c>
      <x:c r="B15" s="87" t="n">
        <x:v>0.8</x:v>
      </x:c>
      <x:c r="C15" s="85" t="str">
        <x:v>Tỷ lệ AI tự hoàn tất trước HITL</x:v>
      </x:c>
      <x:c r="D15" s="77"/>
      <x:c r="E15" s="77"/>
      <x:c r="F15" s="77"/>
      <x:c r="G15" s="77"/>
      <x:c r="H15" s="77"/>
    </x:row>
    <x:row r="16">
      <x:c r="A16" s="85" t="str">
        <x:v>Job hoàn thành</x:v>
      </x:c>
      <x:c r="B16" s="88" t="n">
        <x:f>B14*B15</x:f>
        <x:v>800</x:v>
      </x:c>
      <x:c r="C16" s="85" t="str">
        <x:v>MẪU SỐ Cost/Job</x:v>
      </x:c>
      <x:c r="D16" s="77"/>
      <x:c r="E16" s="77"/>
      <x:c r="F16" s="77"/>
      <x:c r="G16" s="77"/>
      <x:c r="H16" s="77"/>
    </x:row>
    <x:row r="17">
      <x:c r="A17" s="85" t="str">
        <x:v>Escalation</x:v>
      </x:c>
      <x:c r="B17" s="88" t="n">
        <x:f>B14-B16</x:f>
        <x:v>200</x:v>
      </x:c>
      <x:c r="C17" s="85" t="str">
        <x:v>Do RetourAI trả (Biến thể B)</x:v>
      </x:c>
      <x:c r="D17" s="77"/>
      <x:c r="E17" s="77"/>
      <x:c r="F17" s="77"/>
      <x:c r="G17" s="77"/>
      <x:c r="H17" s="77"/>
    </x:row>
    <x:row r="18">
      <x:c r="A18" s="77"/>
      <x:c r="B18" s="77"/>
      <x:c r="C18" s="77"/>
      <x:c r="D18" s="77"/>
      <x:c r="E18" s="77"/>
      <x:c r="F18" s="77"/>
      <x:c r="G18" s="77"/>
      <x:c r="H18" s="77"/>
    </x:row>
    <x:row r="19">
      <x:c r="A19" s="80" t="str">
        <x:v>S3-S8. Các thành phần Cost/Job - input vàng, công thức xám</x:v>
      </x:c>
      <x:c r="B19" s="77"/>
      <x:c r="C19" s="77"/>
      <x:c r="D19" s="77"/>
      <x:c r="E19" s="77"/>
      <x:c r="F19" s="77"/>
      <x:c r="G19" s="77"/>
      <x:c r="H19" s="77"/>
    </x:row>
    <x:row r="20">
      <x:c r="A20" s="84" t="str">
        <x:v>Thành phần / driver</x:v>
      </x:c>
      <x:c r="B20" s="84" t="str">
        <x:v>Giá trị</x:v>
      </x:c>
      <x:c r="C20" s="84" t="str">
        <x:v>Đơn vị / công thức</x:v>
      </x:c>
      <x:c r="D20" s="84" t="str">
        <x:v>Chi phí tháng</x:v>
      </x:c>
      <x:c r="E20" s="77"/>
      <x:c r="F20" s="77"/>
      <x:c r="G20" s="77"/>
      <x:c r="H20" s="77"/>
    </x:row>
    <x:row r="21">
      <x:c r="A21" s="85" t="str">
        <x:v>Claude Haiku 5.5 input</x:v>
      </x:c>
      <x:c r="B21" s="89" t="n">
        <x:v>0.1</x:v>
      </x:c>
      <x:c r="C21" s="85" t="str">
        <x:v>USD / 1M tokens</x:v>
      </x:c>
      <x:c r="D21" s="85" t="str"/>
      <x:c r="E21" s="77"/>
      <x:c r="F21" s="77"/>
      <x:c r="G21" s="77"/>
      <x:c r="H21" s="77"/>
    </x:row>
    <x:row r="22">
      <x:c r="A22" s="85" t="str">
        <x:v>Claude Haiku 5.5 output</x:v>
      </x:c>
      <x:c r="B22" s="89" t="n">
        <x:v>0.5</x:v>
      </x:c>
      <x:c r="C22" s="85" t="str">
        <x:v>USD / 1M tokens</x:v>
      </x:c>
      <x:c r="D22" s="85" t="str"/>
      <x:c r="E22" s="77"/>
      <x:c r="F22" s="77"/>
      <x:c r="G22" s="77"/>
      <x:c r="H22" s="77"/>
    </x:row>
    <x:row r="23">
      <x:c r="A23" s="85" t="str">
        <x:v>Cache write</x:v>
      </x:c>
      <x:c r="B23" s="89" t="n">
        <x:v>0.125</x:v>
      </x:c>
      <x:c r="C23" s="85" t="str">
        <x:v>USD / 1M tokens</x:v>
      </x:c>
      <x:c r="D23" s="85" t="str"/>
      <x:c r="E23" s="77"/>
      <x:c r="F23" s="77"/>
      <x:c r="G23" s="77"/>
      <x:c r="H23" s="77"/>
    </x:row>
    <x:row r="24">
      <x:c r="A24" s="85" t="str">
        <x:v>Cache read</x:v>
      </x:c>
      <x:c r="B24" s="89" t="n">
        <x:v>0.01</x:v>
      </x:c>
      <x:c r="C24" s="85" t="str">
        <x:v>USD / 1M tokens</x:v>
      </x:c>
      <x:c r="D24" s="85" t="str"/>
      <x:c r="E24" s="77"/>
      <x:c r="F24" s="77"/>
      <x:c r="G24" s="77"/>
      <x:c r="H24" s="77"/>
    </x:row>
    <x:row r="25">
      <x:c r="A25" s="85" t="str">
        <x:v>Cache write tokens / job</x:v>
      </x:c>
      <x:c r="B25" s="86" t="n">
        <x:v>3000</x:v>
      </x:c>
      <x:c r="C25" s="85" t="str">
        <x:v>tokens</x:v>
      </x:c>
      <x:c r="D25" s="85" t="str"/>
      <x:c r="E25" s="77"/>
      <x:c r="F25" s="77"/>
      <x:c r="G25" s="77"/>
      <x:c r="H25" s="77"/>
    </x:row>
    <x:row r="26">
      <x:c r="A26" s="85" t="str">
        <x:v>Cache read tokens / job</x:v>
      </x:c>
      <x:c r="B26" s="86" t="n">
        <x:v>15000</x:v>
      </x:c>
      <x:c r="C26" s="85" t="str">
        <x:v>tokens</x:v>
      </x:c>
      <x:c r="D26" s="85" t="str"/>
      <x:c r="E26" s="77"/>
      <x:c r="F26" s="77"/>
      <x:c r="G26" s="77"/>
      <x:c r="H26" s="77"/>
    </x:row>
    <x:row r="27">
      <x:c r="A27" s="85" t="str">
        <x:v>Fresh input tokens / job</x:v>
      </x:c>
      <x:c r="B27" s="86" t="n">
        <x:v>6000</x:v>
      </x:c>
      <x:c r="C27" s="85" t="str">
        <x:v>tokens</x:v>
      </x:c>
      <x:c r="D27" s="85" t="str"/>
      <x:c r="E27" s="77"/>
      <x:c r="F27" s="77"/>
      <x:c r="G27" s="77"/>
      <x:c r="H27" s="77"/>
    </x:row>
    <x:row r="28">
      <x:c r="A28" s="85" t="str">
        <x:v>Output tokens / job</x:v>
      </x:c>
      <x:c r="B28" s="86" t="n">
        <x:v>1800</x:v>
      </x:c>
      <x:c r="C28" s="85" t="str">
        <x:v>tokens</x:v>
      </x:c>
      <x:c r="D28" s="85" t="str"/>
      <x:c r="E28" s="77"/>
      <x:c r="F28" s="77"/>
      <x:c r="G28" s="77"/>
      <x:c r="H28" s="77"/>
    </x:row>
    <x:row r="29">
      <x:c r="A29" s="85" t="str">
        <x:v>LLM / job</x:v>
      </x:c>
      <x:c r="B29" s="90" t="n">
        <x:f>(B25*B23+B26*B24+B27*B21+B28*B22)/1000000</x:f>
        <x:v>0.002025</x:v>
      </x:c>
      <x:c r="C29" s="85" t="str">
        <x:v>write + read + fresh input + output</x:v>
      </x:c>
      <x:c r="D29" s="91" t="n">
        <x:f>B29*$B$14</x:f>
        <x:v>2.025</x:v>
      </x:c>
      <x:c r="E29" s="77"/>
      <x:c r="F29" s="77"/>
      <x:c r="G29" s="77"/>
      <x:c r="H29" s="77"/>
    </x:row>
    <x:row r="30">
      <x:c r="A30" s="85" t="str">
        <x:v>Retry rate</x:v>
      </x:c>
      <x:c r="B30" s="87" t="n">
        <x:v>0.08</x:v>
      </x:c>
      <x:c r="C30" s="85" t="str">
        <x:v>% LLM cost; estimate before pilot</x:v>
      </x:c>
      <x:c r="D30" s="91" t="n">
        <x:f>D29*B30</x:f>
        <x:v>0.162</x:v>
      </x:c>
      <x:c r="E30" s="77"/>
      <x:c r="F30" s="77"/>
      <x:c r="G30" s="77"/>
      <x:c r="H30" s="77"/>
    </x:row>
    <x:row r="31">
      <x:c r="A31" s="85" t="str">
        <x:v>Infra / job</x:v>
      </x:c>
      <x:c r="B31" s="87" t="n">
        <x:v>0.005</x:v>
      </x:c>
      <x:c r="C31" s="85" t="str">
        <x:v>vector DB + embedding + logging + storage; thay bằng invoice tháng 1</x:v>
      </x:c>
      <x:c r="D31" s="91" t="n">
        <x:f>B31*$B$14</x:f>
        <x:v>5</x:v>
      </x:c>
      <x:c r="E31" s="77"/>
      <x:c r="F31" s="77"/>
      <x:c r="G31" s="77"/>
      <x:c r="H31" s="77"/>
    </x:row>
    <x:row r="32">
      <x:c r="A32" s="85" t="str">
        <x:v>QA nội bộ</x:v>
      </x:c>
      <x:c r="B32" s="87" t="n">
        <x:v>0.05</x:v>
      </x:c>
      <x:c r="C32" s="85" t="str">
        <x:v>% jobs reviewed</x:v>
      </x:c>
      <x:c r="D32" s="91" t="str"/>
      <x:c r="E32" s="77"/>
      <x:c r="F32" s="77"/>
      <x:c r="G32" s="77"/>
      <x:c r="H32" s="77"/>
    </x:row>
    <x:row r="33">
      <x:c r="A33" s="85" t="str">
        <x:v>Minutes / QA</x:v>
      </x:c>
      <x:c r="B33" s="92" t="n">
        <x:v>2</x:v>
      </x:c>
      <x:c r="C33" s="85" t="str">
        <x:v>minutes</x:v>
      </x:c>
      <x:c r="D33" s="91" t="str"/>
      <x:c r="E33" s="77"/>
      <x:c r="F33" s="77"/>
      <x:c r="G33" s="77"/>
      <x:c r="H33" s="77"/>
    </x:row>
    <x:row r="34">
      <x:c r="A34" s="85" t="str">
        <x:v>Cost / hour QA</x:v>
      </x:c>
      <x:c r="B34" s="92" t="n">
        <x:v>9</x:v>
      </x:c>
      <x:c r="C34" s="85" t="str">
        <x:v>USD blended; xác minh bằng 3 báo giá BPO trước Day 14</x:v>
      </x:c>
      <x:c r="D34" s="91" t="str"/>
      <x:c r="E34" s="77"/>
      <x:c r="F34" s="77"/>
      <x:c r="G34" s="77"/>
      <x:c r="H34" s="77"/>
    </x:row>
    <x:row r="35">
      <x:c r="A35" s="85" t="str">
        <x:v>HITL QA</x:v>
      </x:c>
      <x:c r="B35" s="90" t="n">
        <x:f>B32*B33*B34/60</x:f>
        <x:v>0.015000000000000001</x:v>
      </x:c>
      <x:c r="C35" s="85" t="str">
        <x:v>per incoming ticket</x:v>
      </x:c>
      <x:c r="D35" s="91" t="n">
        <x:f>B35*$B$14</x:f>
        <x:v>15.000000000000002</x:v>
      </x:c>
      <x:c r="E35" s="77"/>
      <x:c r="F35" s="77"/>
      <x:c r="G35" s="77"/>
      <x:c r="H35" s="77"/>
    </x:row>
    <x:row r="36">
      <x:c r="A36" s="85" t="str">
        <x:v>Escalation minutes</x:v>
      </x:c>
      <x:c r="B36" s="92" t="n">
        <x:v>6</x:v>
      </x:c>
      <x:c r="C36" s="85" t="str">
        <x:v>minutes / escalated job</x:v>
      </x:c>
      <x:c r="D36" s="91" t="str"/>
      <x:c r="E36" s="77"/>
      <x:c r="F36" s="77"/>
      <x:c r="G36" s="77"/>
      <x:c r="H36" s="77"/>
    </x:row>
    <x:row r="37">
      <x:c r="A37" s="85" t="str">
        <x:v>HITL escalation</x:v>
      </x:c>
      <x:c r="B37" s="92" t="n">
        <x:f>B17*B36*B34/60</x:f>
        <x:v>180</x:v>
      </x:c>
      <x:c r="C37" s="85" t="str">
        <x:v>managed outcome only</x:v>
      </x:c>
      <x:c r="D37" s="91" t="n">
        <x:f>B37</x:f>
        <x:v>180</x:v>
      </x:c>
      <x:c r="E37" s="77"/>
      <x:c r="F37" s="77"/>
      <x:c r="G37" s="77"/>
      <x:c r="H37" s="77"/>
    </x:row>
    <x:row r="38">
      <x:c r="A38" s="85"/>
      <x:c r="B38" s="90"/>
      <x:c r="C38" s="85"/>
      <x:c r="D38" s="91"/>
      <x:c r="E38" s="77"/>
      <x:c r="F38" s="77"/>
      <x:c r="G38" s="77"/>
      <x:c r="H38" s="77"/>
    </x:row>
    <x:row r="39">
      <x:c r="A39" s="84" t="str">
        <x:v>Overhead và kết quả</x:v>
      </x:c>
      <x:c r="B39" s="84" t="str">
        <x:v>Giá trị</x:v>
      </x:c>
      <x:c r="C39" s="84" t="str">
        <x:v>Cách tính</x:v>
      </x:c>
      <x:c r="D39" s="84" t="str">
        <x:v>Kết quả</x:v>
      </x:c>
      <x:c r="E39" s="77"/>
      <x:c r="F39" s="77"/>
      <x:c r="G39" s="77"/>
      <x:c r="H39" s="77"/>
    </x:row>
    <x:row r="40">
      <x:c r="A40" s="85" t="str">
        <x:v>R&amp;D + support + sales phân bổ</x:v>
      </x:c>
      <x:c r="B40" s="86" t="n">
        <x:v>140</x:v>
      </x:c>
      <x:c r="C40" s="85" t="str">
        <x:v>Cloud/tools $40 + support $50 + founder selling $50; 1 pilot</x:v>
      </x:c>
      <x:c r="D40" s="85" t="n">
        <x:f>B40</x:f>
        <x:v>140</x:v>
      </x:c>
      <x:c r="E40" s="77"/>
      <x:c r="F40" s="77"/>
      <x:c r="G40" s="77"/>
      <x:c r="H40" s="77"/>
    </x:row>
    <x:row r="41">
      <x:c r="A41" s="85" t="str">
        <x:v>Tổng chi phí trực tiếp</x:v>
      </x:c>
      <x:c r="B41" s="85" t="str"/>
      <x:c r="C41" s="85" t="str">
        <x:v>LLM + retry + infra + QA + escalation</x:v>
      </x:c>
      <x:c r="D41" s="90" t="n">
        <x:f>SUM(D29:D32)+D35+D37</x:f>
        <x:v>202.187</x:v>
      </x:c>
      <x:c r="E41" s="77"/>
      <x:c r="F41" s="77"/>
      <x:c r="G41" s="77"/>
      <x:c r="H41" s="77"/>
    </x:row>
    <x:row r="42">
      <x:c r="A42" s="85" t="str">
        <x:v>Tổng chi phí gồm overhead</x:v>
      </x:c>
      <x:c r="B42" s="85" t="str"/>
      <x:c r="C42" s="85" t="str">
        <x:v>Direct + overhead</x:v>
      </x:c>
      <x:c r="D42" s="90" t="n">
        <x:f>D41+D40</x:f>
        <x:v>342.187</x:v>
      </x:c>
      <x:c r="E42" s="77"/>
      <x:c r="F42" s="77"/>
      <x:c r="G42" s="77"/>
      <x:c r="H42" s="77"/>
    </x:row>
    <x:row r="43">
      <x:c r="A43" s="85" t="str">
        <x:v>Cost / Job direct</x:v>
      </x:c>
      <x:c r="B43" s="85" t="str"/>
      <x:c r="C43" s="85" t="str">
        <x:v>chia JOB HOÀN THÀNH</x:v>
      </x:c>
      <x:c r="D43" s="90" t="n">
        <x:f>D41/$B$16</x:f>
        <x:v>0.25273375000000003</x:v>
      </x:c>
      <x:c r="E43" s="77"/>
      <x:c r="F43" s="77"/>
      <x:c r="G43" s="77"/>
      <x:c r="H43" s="77"/>
    </x:row>
    <x:row r="44">
      <x:c r="A44" s="85" t="str">
        <x:v>Cost / Job fully-loaded</x:v>
      </x:c>
      <x:c r="B44" s="85" t="str"/>
      <x:c r="C44" s="85" t="str">
        <x:v>chia JOB HOÀN THÀNH</x:v>
      </x:c>
      <x:c r="D44" s="90" t="n">
        <x:f>D42/$B$16</x:f>
        <x:v>0.42773375</x:v>
      </x:c>
      <x:c r="E44" s="77"/>
      <x:c r="F44" s="77"/>
      <x:c r="G44" s="77"/>
      <x:c r="H44" s="77"/>
    </x:row>
    <x:row r="45">
      <x:c r="A45" s="85" t="str">
        <x:v>Cache saving</x:v>
      </x:c>
      <x:c r="B45" s="85" t="str"/>
      <x:c r="C45" s="85" t="str">
        <x:v>so với input không cache</x:v>
      </x:c>
      <x:c r="D45" s="93" t="n">
        <x:f>1-(B29/((24000*B21+1800*B22)/1000000))</x:f>
        <x:v>0.38636363636363635</x:v>
      </x:c>
      <x:c r="E45" s="77"/>
      <x:c r="F45" s="77"/>
      <x:c r="G45" s="77"/>
      <x:c r="H45" s="77"/>
    </x:row>
  </x:sheetData>
  <x:mergeCells>
    <x:mergeCell ref="A1:H1"/>
    <x:mergeCell ref="A2:H2"/>
    <x:mergeCell ref="A5:H5"/>
    <x:mergeCell ref="A12:H12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22" hidden="0" customWidth="1"/>
    <x:col min="4" max="4" width="20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76" t="str">
        <x:v>2. Pricing và stress test</x:v>
      </x:c>
      <x:c r="B1" s="77"/>
      <x:c r="C1" s="77"/>
      <x:c r="D1" s="77"/>
      <x:c r="E1" s="77"/>
      <x:c r="F1" s="77"/>
      <x:c r="G1" s="77"/>
      <x:c r="H1" s="77"/>
    </x:row>
    <x:row r="2" ht="24" customHeight="1">
      <x:c r="A2" s="78" t="str">
        <x:v>Hybrid platform + usage: 1 QAE = 1 job hoàn thành ở Tab 1 | mọi công thức link trực tiếp tới Cost/Job</x:v>
      </x:c>
      <x:c r="B2" s="77"/>
      <x:c r="C2" s="77"/>
      <x:c r="D2" s="77"/>
      <x:c r="E2" s="77"/>
      <x:c r="F2" s="77"/>
      <x:c r="G2" s="77"/>
      <x:c r="H2" s="77"/>
    </x:row>
    <x:row r="3">
      <x:c r="A3" s="79"/>
      <x:c r="B3" s="79"/>
      <x:c r="C3" s="79"/>
      <x:c r="D3" s="79"/>
      <x:c r="E3" s="79"/>
      <x:c r="F3" s="79"/>
      <x:c r="G3" s="79"/>
      <x:c r="H3" s="79"/>
    </x:row>
    <x:row r="4">
      <x:c r="A4" s="77"/>
      <x:c r="B4" s="77"/>
      <x:c r="C4" s="77"/>
      <x:c r="D4" s="77"/>
      <x:c r="E4" s="77"/>
      <x:c r="F4" s="77"/>
      <x:c r="G4" s="77"/>
      <x:c r="H4" s="77"/>
    </x:row>
    <x:row r="5">
      <x:c r="A5" s="80" t="str">
        <x:v>Giá đề xuất và neo giá</x:v>
      </x:c>
      <x:c r="B5" s="77"/>
      <x:c r="C5" s="77"/>
      <x:c r="D5" s="77"/>
      <x:c r="E5" s="77"/>
      <x:c r="F5" s="77"/>
      <x:c r="G5" s="77"/>
      <x:c r="H5" s="77"/>
    </x:row>
    <x:row r="6">
      <x:c r="A6" s="84" t="str">
        <x:v>Metric</x:v>
      </x:c>
      <x:c r="B6" s="84" t="str">
        <x:v>Giá trị</x:v>
      </x:c>
      <x:c r="C6" s="84" t="str">
        <x:v>Công thức / nguồn</x:v>
      </x:c>
      <x:c r="D6" s="84" t="str">
        <x:v>Kết luận</x:v>
      </x:c>
      <x:c r="E6" s="77"/>
      <x:c r="F6" s="77"/>
      <x:c r="G6" s="77"/>
      <x:c r="H6" s="77"/>
    </x:row>
    <x:row r="7">
      <x:c r="A7" s="85" t="str">
        <x:v>Cost/Job fully-loaded</x:v>
      </x:c>
      <x:c r="B7" s="94" t="n">
        <x:f>'1_Cost_Job'!D44</x:f>
        <x:v>0.42773375</x:v>
      </x:c>
      <x:c r="C7" s="85" t="str">
        <x:v>Từ 1_Cost_Job</x:v>
      </x:c>
      <x:c r="D7" s="85" t="str"/>
      <x:c r="E7" s="77"/>
      <x:c r="F7" s="77"/>
      <x:c r="G7" s="77"/>
      <x:c r="H7" s="77"/>
    </x:row>
    <x:row r="8">
      <x:c r="A8" s="85" t="str">
        <x:v>Giá sàn</x:v>
      </x:c>
      <x:c r="B8" s="94" t="n">
        <x:f>B7*3</x:f>
        <x:v>1.28320125</x:v>
      </x:c>
      <x:c r="C8" s="85" t="str">
        <x:v>3 x Cost/Job</x:v>
      </x:c>
      <x:c r="D8" s="85" t="str"/>
      <x:c r="E8" s="77"/>
      <x:c r="F8" s="77"/>
      <x:c r="G8" s="77"/>
      <x:c r="H8" s="77"/>
    </x:row>
    <x:row r="9">
      <x:c r="A9" s="85" t="str">
        <x:v>Giá benchmark - Fin</x:v>
      </x:c>
      <x:c r="B9" s="94" t="n">
        <x:v>0.99</x:v>
      </x:c>
      <x:c r="C9" s="85" t="str">
        <x:v>Intercom Fin: $0.99/outcome; benchmark đơn vị resolution</x:v>
      </x:c>
      <x:c r="D9" s="85" t="str"/>
      <x:c r="E9" s="77"/>
      <x:c r="F9" s="77"/>
      <x:c r="G9" s="77"/>
      <x:c r="H9" s="77"/>
    </x:row>
    <x:row r="10">
      <x:c r="A10" s="85" t="str">
        <x:v>Giá bán QAE đề xuất</x:v>
      </x:c>
      <x:c r="B10" s="92" t="n">
        <x:v>1.29</x:v>
      </x:c>
      <x:c r="C10" s="85" t="str">
        <x:v>Usage QAE; pilot 90 ngày, invoice sau 7-day credit window</x:v>
      </x:c>
      <x:c r="D10" s="85" t="str"/>
      <x:c r="E10" s="77"/>
      <x:c r="F10" s="77"/>
      <x:c r="G10" s="77"/>
      <x:c r="H10" s="77"/>
    </x:row>
    <x:row r="11">
      <x:c r="A11" s="85" t="str">
        <x:v>GM fully-loaded</x:v>
      </x:c>
      <x:c r="B11" s="95" t="n">
        <x:f>1-B7/B10</x:f>
        <x:v>0.6684234496124031</x:v>
      </x:c>
      <x:c r="C11" s="85" t="str">
        <x:v>(giá - cost)/giá</x:v>
      </x:c>
      <x:c r="D11" s="85" t="str">
        <x:f>IF(B11&gt;=0.6,"🟩 &gt;=60%","🟥 &lt;60%")</x:f>
        <x:v>🟩 &gt;=60%</x:v>
      </x:c>
      <x:c r="E11" s="77"/>
      <x:c r="F11" s="77"/>
      <x:c r="G11" s="77"/>
      <x:c r="H11" s="77"/>
    </x:row>
    <x:row r="12">
      <x:c r="A12" s="85" t="str">
        <x:v>Giá trị khách tiết kiệm</x:v>
      </x:c>
      <x:c r="B12" s="96" t="n">
        <x:v>4800</x:v>
      </x:c>
      <x:c r="C12" s="85" t="str">
        <x:v>USD/tháng: 800 QAE x $6 human/outsource; xác minh 3 quote Day 14</x:v>
      </x:c>
      <x:c r="D12" s="85" t="str"/>
      <x:c r="E12" s="77"/>
      <x:c r="F12" s="77"/>
      <x:c r="G12" s="77"/>
      <x:c r="H12" s="77"/>
    </x:row>
    <x:row r="13">
      <x:c r="A13" s="85" t="str">
        <x:v>Giá trần - 25% value</x:v>
      </x:c>
      <x:c r="B13" s="97" t="n">
        <x:f>B12*25%/800</x:f>
        <x:v>1.5</x:v>
      </x:c>
      <x:c r="C13" s="85" t="str">
        <x:v>25% value / jobs hoàn thành</x:v>
      </x:c>
      <x:c r="D13" s="85" t="str"/>
      <x:c r="E13" s="77"/>
      <x:c r="F13" s="77"/>
      <x:c r="G13" s="77"/>
      <x:c r="H13" s="77"/>
    </x:row>
    <x:row r="14">
      <x:c r="A14" s="85" t="str">
        <x:v>Giá trần - 70% labour</x:v>
      </x:c>
      <x:c r="B14" s="97" t="n">
        <x:f>6*70%</x:f>
        <x:v>4.199999999999999</x:v>
      </x:c>
      <x:c r="C14" s="85" t="str">
        <x:v>70% human/outsource cost/job</x:v>
      </x:c>
      <x:c r="D14" s="85" t="str"/>
      <x:c r="E14" s="77"/>
      <x:c r="F14" s="77"/>
      <x:c r="G14" s="77"/>
      <x:c r="H14" s="77"/>
    </x:row>
    <x:row r="15">
      <x:c r="A15" s="85" t="str">
        <x:v>Chọn neo giá trần</x:v>
      </x:c>
      <x:c r="B15" s="97" t="n">
        <x:f>MIN(B13,B14)</x:f>
        <x:v>1.5</x:v>
      </x:c>
      <x:c r="C15" s="85" t="str">
        <x:v>neo thận trọng, tự kiểm chứng được</x:v>
      </x:c>
      <x:c r="D15" s="85" t="str">
        <x:v>Giá $1.29 &lt; $1.50</x:v>
      </x:c>
      <x:c r="E15" s="77"/>
      <x:c r="F15" s="77"/>
      <x:c r="G15" s="77"/>
      <x:c r="H15" s="77"/>
    </x:row>
    <x:row r="16">
      <x:c r="A16" s="85"/>
      <x:c r="B16" s="97"/>
      <x:c r="C16" s="85"/>
      <x:c r="D16" s="85"/>
      <x:c r="E16" s="77"/>
      <x:c r="F16" s="77"/>
      <x:c r="G16" s="77"/>
      <x:c r="H16" s="77"/>
    </x:row>
    <x:row r="17">
      <x:c r="A17" s="77"/>
      <x:c r="B17" s="77"/>
      <x:c r="C17" s="77"/>
      <x:c r="D17" s="77"/>
      <x:c r="E17" s="77"/>
      <x:c r="F17" s="77"/>
      <x:c r="G17" s="77"/>
      <x:c r="H17" s="77"/>
    </x:row>
    <x:row r="18">
      <x:c r="A18" s="80" t="str">
        <x:v>Breakeven containment và sensitivity</x:v>
      </x:c>
      <x:c r="B18" s="77"/>
      <x:c r="C18" s="77"/>
      <x:c r="D18" s="77"/>
      <x:c r="E18" s="77"/>
      <x:c r="F18" s="77"/>
      <x:c r="G18" s="77"/>
      <x:c r="H18" s="77"/>
    </x:row>
    <x:row r="19">
      <x:c r="A19" s="84" t="str">
        <x:v>Containment</x:v>
      </x:c>
      <x:c r="B19" s="84" t="str">
        <x:v>Resolved jobs</x:v>
      </x:c>
      <x:c r="C19" s="84" t="str">
        <x:v>Cost / month</x:v>
      </x:c>
      <x:c r="D19" s="84" t="str">
        <x:v>Cost/Job</x:v>
      </x:c>
      <x:c r="E19" s="84" t="str">
        <x:v>GM at $1.29</x:v>
      </x:c>
      <x:c r="F19" s="77"/>
      <x:c r="G19" s="77"/>
      <x:c r="H19" s="77"/>
    </x:row>
    <x:row r="20">
      <x:c r="A20" s="98" t="n">
        <x:v>0.55</x:v>
      </x:c>
      <x:c r="B20" s="85" t="n">
        <x:f>A20*'1_Cost_Job'!$B$14</x:f>
        <x:v>550</x:v>
      </x:c>
      <x:c r="C20" s="94" t="n">
        <x:f>'1_Cost_Job'!$D$29+'1_Cost_Job'!$D$30+'1_Cost_Job'!$D$31+'1_Cost_Job'!$D$35+(1-A20)*'1_Cost_Job'!$B$14*'1_Cost_Job'!$B$36*'1_Cost_Job'!$B$34/60+'1_Cost_Job'!$B$40</x:f>
        <x:v>567.1869999999999</x:v>
      </x:c>
      <x:c r="D20" s="94" t="n">
        <x:f>C20/B20</x:f>
        <x:v>1.0312490909090908</x:v>
      </x:c>
      <x:c r="E20" s="95" t="n">
        <x:f>1-D20/$B$10</x:f>
        <x:v>0.20058210007047228</x:v>
      </x:c>
      <x:c r="F20" s="77"/>
      <x:c r="G20" s="77"/>
      <x:c r="H20" s="77"/>
    </x:row>
    <x:row r="21">
      <x:c r="A21" s="98" t="n">
        <x:v>0.6</x:v>
      </x:c>
      <x:c r="B21" s="85" t="n">
        <x:f>A21*'1_Cost_Job'!$B$14</x:f>
        <x:v>600</x:v>
      </x:c>
      <x:c r="C21" s="94" t="n">
        <x:f>'1_Cost_Job'!$D$29+'1_Cost_Job'!$D$30+'1_Cost_Job'!$D$31+'1_Cost_Job'!$D$35+(1-A21)*'1_Cost_Job'!$B$14*'1_Cost_Job'!$B$36*'1_Cost_Job'!$B$34/60+'1_Cost_Job'!$B$40</x:f>
        <x:v>522.187</x:v>
      </x:c>
      <x:c r="D21" s="94" t="n">
        <x:f>C21/B21</x:f>
        <x:v>0.8703116666666667</x:v>
      </x:c>
      <x:c r="E21" s="95" t="n">
        <x:f>1-D21/$B$10</x:f>
        <x:v>0.32533979328165374</x:v>
      </x:c>
      <x:c r="F21" s="77"/>
      <x:c r="G21" s="77"/>
      <x:c r="H21" s="77"/>
    </x:row>
    <x:row r="22">
      <x:c r="A22" s="98" t="n">
        <x:v>0.65</x:v>
      </x:c>
      <x:c r="B22" s="85" t="n">
        <x:f>A22*'1_Cost_Job'!$B$14</x:f>
        <x:v>650</x:v>
      </x:c>
      <x:c r="C22" s="94" t="n">
        <x:f>'1_Cost_Job'!$D$29+'1_Cost_Job'!$D$30+'1_Cost_Job'!$D$31+'1_Cost_Job'!$D$35+(1-A22)*'1_Cost_Job'!$B$14*'1_Cost_Job'!$B$36*'1_Cost_Job'!$B$34/60+'1_Cost_Job'!$B$40</x:f>
        <x:v>477.187</x:v>
      </x:c>
      <x:c r="D22" s="94" t="n">
        <x:f>C22/B22</x:f>
        <x:v>0.7341338461538461</x:v>
      </x:c>
      <x:c r="E22" s="95" t="n">
        <x:f>1-D22/$B$10</x:f>
        <x:v>0.4309039952295767</x:v>
      </x:c>
      <x:c r="F22" s="77"/>
      <x:c r="G22" s="77"/>
      <x:c r="H22" s="77"/>
    </x:row>
    <x:row r="23">
      <x:c r="A23" s="98" t="n">
        <x:v>0.7</x:v>
      </x:c>
      <x:c r="B23" s="85" t="n">
        <x:f>A23*'1_Cost_Job'!$B$14</x:f>
        <x:v>700</x:v>
      </x:c>
      <x:c r="C23" s="94" t="n">
        <x:f>'1_Cost_Job'!$D$29+'1_Cost_Job'!$D$30+'1_Cost_Job'!$D$31+'1_Cost_Job'!$D$35+(1-A23)*'1_Cost_Job'!$B$14*'1_Cost_Job'!$B$36*'1_Cost_Job'!$B$34/60+'1_Cost_Job'!$B$40</x:f>
        <x:v>432.18700000000007</x:v>
      </x:c>
      <x:c r="D23" s="94" t="n">
        <x:f>C23/B23</x:f>
        <x:v>0.6174100000000001</x:v>
      </x:c>
      <x:c r="E23" s="95" t="n">
        <x:f>1-D23/$B$10</x:f>
        <x:v>0.5213875968992248</x:v>
      </x:c>
      <x:c r="F23" s="77"/>
      <x:c r="G23" s="77"/>
      <x:c r="H23" s="77"/>
    </x:row>
    <x:row r="24">
      <x:c r="A24" s="98" t="n">
        <x:v>0.75</x:v>
      </x:c>
      <x:c r="B24" s="85" t="n">
        <x:f>A24*'1_Cost_Job'!$B$14</x:f>
        <x:v>750</x:v>
      </x:c>
      <x:c r="C24" s="94" t="n">
        <x:f>'1_Cost_Job'!$D$29+'1_Cost_Job'!$D$30+'1_Cost_Job'!$D$31+'1_Cost_Job'!$D$35+(1-A24)*'1_Cost_Job'!$B$14*'1_Cost_Job'!$B$36*'1_Cost_Job'!$B$34/60+'1_Cost_Job'!$B$40</x:f>
        <x:v>387.187</x:v>
      </x:c>
      <x:c r="D24" s="94" t="n">
        <x:f>C24/B24</x:f>
        <x:v>0.5162493333333333</x:v>
      </x:c>
      <x:c r="E24" s="95" t="n">
        <x:f>1-D24/$B$10</x:f>
        <x:v>0.5998067183462532</x:v>
      </x:c>
      <x:c r="F24" s="77"/>
      <x:c r="G24" s="77"/>
      <x:c r="H24" s="77"/>
    </x:row>
    <x:row r="25">
      <x:c r="A25" s="98" t="n">
        <x:v>0.8</x:v>
      </x:c>
      <x:c r="B25" s="85" t="n">
        <x:f>A25*'1_Cost_Job'!$B$14</x:f>
        <x:v>800</x:v>
      </x:c>
      <x:c r="C25" s="94" t="n">
        <x:f>'1_Cost_Job'!$D$29+'1_Cost_Job'!$D$30+'1_Cost_Job'!$D$31+'1_Cost_Job'!$D$35+(1-A25)*'1_Cost_Job'!$B$14*'1_Cost_Job'!$B$36*'1_Cost_Job'!$B$34/60+'1_Cost_Job'!$B$40</x:f>
        <x:v>342.18699999999995</x:v>
      </x:c>
      <x:c r="D25" s="94" t="n">
        <x:f>C25/B25</x:f>
        <x:v>0.42773374999999997</x:v>
      </x:c>
      <x:c r="E25" s="95" t="n">
        <x:f>1-D25/$B$10</x:f>
        <x:v>0.6684234496124031</x:v>
      </x:c>
      <x:c r="F25" s="77"/>
      <x:c r="G25" s="77"/>
      <x:c r="H25" s="77"/>
    </x:row>
    <x:row r="26">
      <x:c r="A26" s="98" t="n">
        <x:v>0.85</x:v>
      </x:c>
      <x:c r="B26" s="85" t="n">
        <x:f>A26*'1_Cost_Job'!$B$14</x:f>
        <x:v>850</x:v>
      </x:c>
      <x:c r="C26" s="94" t="n">
        <x:f>'1_Cost_Job'!$D$29+'1_Cost_Job'!$D$30+'1_Cost_Job'!$D$31+'1_Cost_Job'!$D$35+(1-A26)*'1_Cost_Job'!$B$14*'1_Cost_Job'!$B$36*'1_Cost_Job'!$B$34/60+'1_Cost_Job'!$B$40</x:f>
        <x:v>297.187</x:v>
      </x:c>
      <x:c r="D26" s="94" t="n">
        <x:f>C26/B26</x:f>
        <x:v>0.34963176470588236</x:v>
      </x:c>
      <x:c r="E26" s="95" t="n">
        <x:f>1-D26/$B$10</x:f>
        <x:v>0.728967624259006</x:v>
      </x:c>
      <x:c r="F26" s="77"/>
      <x:c r="G26" s="77"/>
      <x:c r="H26" s="77"/>
    </x:row>
    <x:row r="27">
      <x:c r="A27" s="98" t="n">
        <x:v>0.9</x:v>
      </x:c>
      <x:c r="B27" s="85" t="n">
        <x:f>A27*'1_Cost_Job'!$B$14</x:f>
        <x:v>900</x:v>
      </x:c>
      <x:c r="C27" s="94" t="n">
        <x:f>'1_Cost_Job'!$D$29+'1_Cost_Job'!$D$30+'1_Cost_Job'!$D$31+'1_Cost_Job'!$D$35+(1-A27)*'1_Cost_Job'!$B$14*'1_Cost_Job'!$B$36*'1_Cost_Job'!$B$34/60+'1_Cost_Job'!$B$40</x:f>
        <x:v>252.18699999999995</x:v>
      </x:c>
      <x:c r="D27" s="94" t="n">
        <x:f>C27/B27</x:f>
        <x:v>0.2802077777777777</x:v>
      </x:c>
      <x:c r="E27" s="95" t="n">
        <x:f>1-D27/$B$10</x:f>
        <x:v>0.7827846683893196</x:v>
      </x:c>
      <x:c r="F27" s="77"/>
      <x:c r="G27" s="77"/>
      <x:c r="H27" s="77"/>
    </x:row>
    <x:row r="28">
      <x:c r="A28" s="77"/>
      <x:c r="B28" s="77"/>
      <x:c r="C28" s="77"/>
      <x:c r="D28" s="77"/>
      <x:c r="E28" s="77"/>
      <x:c r="F28" s="77"/>
      <x:c r="G28" s="77"/>
      <x:c r="H28" s="77"/>
    </x:row>
    <x:row r="29">
      <x:c r="A29" s="77"/>
      <x:c r="B29" s="77"/>
      <x:c r="C29" s="77"/>
      <x:c r="D29" s="77"/>
      <x:c r="E29" s="77"/>
      <x:c r="F29" s="77"/>
      <x:c r="G29" s="77"/>
      <x:c r="H29" s="77"/>
    </x:row>
    <x:row r="30">
      <x:c r="A30" s="84" t="str">
        <x:v>Ngưỡng sống còn</x:v>
      </x:c>
      <x:c r="B30" s="84" t="str">
        <x:v>Giá trị</x:v>
      </x:c>
      <x:c r="C30" s="84" t="str">
        <x:v>Diễn giải</x:v>
      </x:c>
      <x:c r="D30" s="84" t="str">
        <x:v>Hành động nếu fail</x:v>
      </x:c>
      <x:c r="E30" s="77"/>
      <x:c r="F30" s="77"/>
      <x:c r="G30" s="77"/>
      <x:c r="H30" s="77"/>
    </x:row>
    <x:row r="31">
      <x:c r="A31" s="85" t="str">
        <x:v>Breakeven containment GM &gt;=60%</x:v>
      </x:c>
      <x:c r="B31" s="95" t="n">
        <x:f>('1_Cost_Job'!$D$29+'1_Cost_Job'!$D$30+'1_Cost_Job'!$D$31+'1_Cost_Job'!$D$35+'1_Cost_Job'!$B$40+'1_Cost_Job'!$B$14*'1_Cost_Job'!$B$36*'1_Cost_Job'!$B$34/60)/('1_Cost_Job'!$B$14*('1_Cost_Job'!$B$36*'1_Cost_Job'!$B$34/60+$B$10*0.4))</x:f>
        <x:v>0.7501320621468925</x:v>
      </x:c>
      <x:c r="C31" s="85" t="str">
        <x:v>So với giả định eval 80%</x:v>
      </x:c>
      <x:c r="D31" s="85" t="str">
        <x:v>Giảm escalation minutes / nâng giá / không scale trước pilot</x:v>
      </x:c>
      <x:c r="E31" s="77"/>
      <x:c r="F31" s="77"/>
      <x:c r="G31" s="77"/>
      <x:c r="H31" s="77"/>
    </x:row>
    <x:row r="32">
      <x:c r="A32" s="85" t="str">
        <x:v>Kết luận</x:v>
      </x:c>
      <x:c r="B32" s="85" t="str">
        <x:f>IF(B31&lt;='1_Cost_Job'!B15,"PASS","FAIL")</x:f>
        <x:v>PASS</x:v>
      </x:c>
      <x:c r="C32" s="85" t="str">
        <x:v>80% giả định &gt; threshold</x:v>
      </x:c>
      <x:c r="D32" s="85" t="str">
        <x:v>Pilot gate: giữ containment &gt;= threshold 4 tuần</x:v>
      </x:c>
      <x:c r="E32" s="77"/>
      <x:c r="F32" s="77"/>
      <x:c r="G32" s="77"/>
      <x:c r="H32" s="77"/>
    </x:row>
    <x:row r="33">
      <x:c r="A33" s="85" t="str">
        <x:v>Mô hình gãy khi</x:v>
      </x:c>
      <x:c r="B33" s="85" t="str">
        <x:v>Containment &lt; threshold hoặc escalation &gt;6 phút</x:v>
      </x:c>
      <x:c r="C33" s="85" t="str">
        <x:v>GM &lt;60%</x:v>
      </x:c>
      <x:c r="D33" s="85" t="str">
        <x:v>Dừng chào outcome fixed-price; chuyển managed pilot</x:v>
      </x:c>
      <x:c r="E33" s="77"/>
      <x:c r="F33" s="77"/>
      <x:c r="G33" s="77"/>
      <x:c r="H33" s="77"/>
    </x:row>
    <x:row r="34">
      <x:c r="A34" s="85" t="str">
        <x:v>Lưu ý</x:v>
      </x:c>
      <x:c r="B34" s="85" t="str">
        <x:v>Tất cả số vàng là giả định mô phỏng</x:v>
      </x:c>
      <x:c r="C34" s="85" t="str">
        <x:v>Không bịa thành eval thật</x:v>
      </x:c>
      <x:c r="D34" s="85" t="str">
        <x:v>Nguồn giá API ở Tab 5</x:v>
      </x:c>
      <x:c r="E34" s="77"/>
      <x:c r="F34" s="77"/>
      <x:c r="G34" s="77"/>
      <x:c r="H34" s="77"/>
    </x:row>
    <x:row r="35">
      <x:c r="A35" s="85"/>
      <x:c r="B35" s="85"/>
      <x:c r="C35" s="85"/>
      <x:c r="D35" s="85"/>
      <x:c r="E35" s="77"/>
      <x:c r="F35" s="77"/>
      <x:c r="G35" s="77"/>
      <x:c r="H35" s="77"/>
    </x:row>
  </x:sheetData>
  <x:mergeCells>
    <x:mergeCell ref="A1:H1"/>
    <x:mergeCell ref="A2:H2"/>
    <x:mergeCell ref="A5:H5"/>
    <x:mergeCell ref="A18:H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4823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22" hidden="0" customWidth="1"/>
    <x:col min="4" max="4" width="20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76" t="str">
        <x:v>3. Value Metric</x:v>
      </x:c>
      <x:c r="B1" s="77"/>
      <x:c r="C1" s="77"/>
      <x:c r="D1" s="77"/>
      <x:c r="E1" s="77"/>
      <x:c r="F1" s="77"/>
      <x:c r="G1" s="77"/>
      <x:c r="H1" s="77"/>
    </x:row>
    <x:row r="2" ht="24" customHeight="1">
      <x:c r="A2" s="78" t="str">
        <x:v>Quyết định giá theo outcome chỉ hợp lệ khi attribution và autonomy được chứng minh trong pilot</x:v>
      </x:c>
      <x:c r="B2" s="77"/>
      <x:c r="C2" s="77"/>
      <x:c r="D2" s="77"/>
      <x:c r="E2" s="77"/>
      <x:c r="F2" s="77"/>
      <x:c r="G2" s="77"/>
      <x:c r="H2" s="77"/>
    </x:row>
    <x:row r="3">
      <x:c r="A3" s="79"/>
      <x:c r="B3" s="79"/>
      <x:c r="C3" s="79"/>
      <x:c r="D3" s="79"/>
      <x:c r="E3" s="79"/>
      <x:c r="F3" s="79"/>
      <x:c r="G3" s="79"/>
      <x:c r="H3" s="79"/>
    </x:row>
    <x:row r="4">
      <x:c r="A4" s="77"/>
      <x:c r="B4" s="77"/>
      <x:c r="C4" s="77"/>
      <x:c r="D4" s="77"/>
      <x:c r="E4" s="77"/>
      <x:c r="F4" s="77"/>
      <x:c r="G4" s="77"/>
      <x:c r="H4" s="77"/>
    </x:row>
    <x:row r="5">
      <x:c r="A5" s="84" t="str">
        <x:v>Tiêu chí</x:v>
      </x:c>
      <x:c r="B5" s="84" t="str">
        <x:v>Điểm (1-5)</x:v>
      </x:c>
      <x:c r="C5" s="84" t="str">
        <x:v>Bằng chứng / giả định</x:v>
      </x:c>
      <x:c r="D5" s="84" t="str">
        <x:v>Hàm ý</x:v>
      </x:c>
      <x:c r="E5" s="77"/>
      <x:c r="F5" s="77"/>
      <x:c r="G5" s="77"/>
      <x:c r="H5" s="77"/>
    </x:row>
    <x:row r="6">
      <x:c r="A6" s="85" t="str">
        <x:v>Attribution business outcome</x:v>
      </x:c>
      <x:c r="B6" s="99" t="n">
        <x:v>2</x:v>
      </x:c>
      <x:c r="C6" s="85" t="str">
        <x:v>Chưa có eval/pilot. Event schema phải đo ticket ID, action, handoff và no-follow-up 7 ngày</x:v>
      </x:c>
      <x:c r="D6" s="85" t="str">
        <x:v>Không được bán Outcome trước pilot</x:v>
      </x:c>
      <x:c r="E6" s="77"/>
      <x:c r="F6" s="77"/>
      <x:c r="G6" s="77"/>
      <x:c r="H6" s="77"/>
    </x:row>
    <x:row r="7">
      <x:c r="A7" s="85" t="str">
        <x:v>Autonomy</x:v>
      </x:c>
      <x:c r="B7" s="99" t="n">
        <x:v>4</x:v>
      </x:c>
      <x:c r="C7" s="85" t="str">
        <x:v>Mô phỏng containment 80%; AI tự làm trước escalation</x:v>
      </x:c>
      <x:c r="D7" s="85" t="str">
        <x:v>Cao nhưng chưa là fact</x:v>
      </x:c>
      <x:c r="E7" s="77"/>
      <x:c r="F7" s="77"/>
      <x:c r="G7" s="77"/>
      <x:c r="H7" s="77"/>
    </x:row>
    <x:row r="8">
      <x:c r="A8" s="85" t="str">
        <x:v>Khuyến nghị ma trận</x:v>
      </x:c>
      <x:c r="B8" s="85" t="str">
        <x:v>Usage / Hybrid</x:v>
      </x:c>
      <x:c r="C8" s="85" t="str">
        <x:v>Attribution thấp, autonomy cao</x:v>
      </x:c>
      <x:c r="D8" s="85" t="str">
        <x:v>Platform + QAE usage, kèm credit policy</x:v>
      </x:c>
      <x:c r="E8" s="77"/>
      <x:c r="F8" s="77"/>
      <x:c r="G8" s="77"/>
      <x:c r="H8" s="77"/>
    </x:row>
    <x:row r="9">
      <x:c r="A9" s="85" t="str">
        <x:v>Value Metric chốt</x:v>
      </x:c>
      <x:c r="B9" s="85" t="str">
        <x:v>Hybrid: $399 workspace/month + $1.29/QAE</x:v>
      </x:c>
      <x:c r="C9" s="85" t="str">
        <x:v>Phí nền: SLA, dashboard, KB sync; usage: Qualified Automation Event audit được</x:v>
      </x:c>
      <x:c r="D9" s="85" t="str">
        <x:v>Khách trả theo workload tự động hóa</x:v>
      </x:c>
      <x:c r="E9" s="77"/>
      <x:c r="F9" s="77"/>
      <x:c r="G9" s="77"/>
      <x:c r="H9" s="77"/>
    </x:row>
    <x:row r="10">
      <x:c r="A10" s="85" t="str">
        <x:v>Decision note 1</x:v>
      </x:c>
      <x:c r="B10" s="85" t="str">
        <x:v>QAE là ticket có AI action hoàn tất, không phải API call hay mere handoff</x:v>
      </x:c>
      <x:c r="C10" s="85" t="str">
        <x:v>Đơn vị khớp budget vận hành và event log</x:v>
      </x:c>
      <x:c r="D10" s="85" t="str"/>
      <x:c r="E10" s="77"/>
      <x:c r="F10" s="77"/>
      <x:c r="G10" s="77"/>
      <x:c r="H10" s="77"/>
    </x:row>
    <x:row r="11">
      <x:c r="A11" s="85" t="str">
        <x:v>Decision note 2</x:v>
      </x:c>
      <x:c r="B11" s="85" t="str">
        <x:v>Không invoice causal business outcome; credit 100% QAE nếu handoff trong 7 ngày</x:v>
      </x:c>
      <x:c r="C11" s="85" t="str">
        <x:v>Chia sẻ risk trước khi attribution được chứng minh</x:v>
      </x:c>
      <x:c r="D11" s="85" t="str"/>
      <x:c r="E11" s="77"/>
      <x:c r="F11" s="77"/>
      <x:c r="G11" s="77"/>
      <x:c r="H11" s="77"/>
    </x:row>
    <x:row r="12">
      <x:c r="A12" s="85" t="str">
        <x:v>Decision note 3</x:v>
      </x:c>
      <x:c r="B12" s="85" t="str">
        <x:v>Nếu eval &lt; threshold ở Pricing!B31, bán managed pilot fixed scope; chưa scale usage tier</x:v>
      </x:c>
      <x:c r="C12" s="85" t="str">
        <x:v>Tránh volume price khi autonomy chưa đủ</x:v>
      </x:c>
      <x:c r="D12" s="85" t="str"/>
      <x:c r="E12" s="77"/>
      <x:c r="F12" s="77"/>
      <x:c r="G12" s="77"/>
      <x:c r="H12" s="77"/>
    </x:row>
    <x:row r="13">
      <x:c r="A13" s="85" t="str">
        <x:v>Giới hạn trung thực</x:v>
      </x:c>
      <x:c r="B13" s="85" t="str">
        <x:v>80% hiện là giả định mô phỏng trước pilot</x:v>
      </x:c>
      <x:c r="C13" s="85" t="str">
        <x:v>Evidence Pack có deadline để thay bằng eval thật</x:v>
      </x:c>
      <x:c r="D13" s="85" t="str"/>
      <x:c r="E13" s="77"/>
      <x:c r="F13" s="77"/>
      <x:c r="G13" s="77"/>
      <x:c r="H13" s="77"/>
    </x:row>
    <x:row r="14">
      <x:c r="A14" s="77"/>
      <x:c r="B14" s="77"/>
      <x:c r="C14" s="77"/>
      <x:c r="D14" s="77"/>
      <x:c r="E14" s="77"/>
      <x:c r="F14" s="77"/>
      <x:c r="G14" s="77"/>
      <x:c r="H14" s="77"/>
    </x:row>
    <x:row r="15">
      <x:c r="A15" s="80" t="str">
        <x:v>Benchmark thật - hai tham chiếu trực tiếp</x:v>
      </x:c>
      <x:c r="B15" s="77"/>
      <x:c r="C15" s="77"/>
      <x:c r="D15" s="77"/>
      <x:c r="E15" s="77"/>
      <x:c r="F15" s="77"/>
      <x:c r="G15" s="77"/>
      <x:c r="H15" s="77"/>
    </x:row>
    <x:row r="16">
      <x:c r="A16" s="84" t="str">
        <x:v>Benchmark</x:v>
      </x:c>
      <x:c r="B16" s="84" t="str">
        <x:v>Value Metric</x:v>
      </x:c>
      <x:c r="C16" s="84" t="str">
        <x:v>Điểm rút ra</x:v>
      </x:c>
      <x:c r="D16" s="84" t="str">
        <x:v>Link</x:v>
      </x:c>
      <x:c r="E16" s="77"/>
      <x:c r="F16" s="77"/>
      <x:c r="G16" s="77"/>
      <x:c r="H16" s="77"/>
    </x:row>
    <x:row r="17">
      <x:c r="A17" s="85" t="str">
        <x:v>Intercom Fin</x:v>
      </x:c>
      <x:c r="B17" s="85" t="str">
        <x:v>$0.99 / resolution; only one outcome per conversation</x:v>
      </x:c>
      <x:c r="C17" s="85" t="str">
        <x:v>Có thể tính theo resolution khi attribution/definition đã audit được</x:v>
      </x:c>
      <x:c r="D17" s="100" t="str">
        <x:v>https://www.intercom.com/help/en/articles/8205718-fin-ai-agent-outcomes</x:v>
      </x:c>
      <x:c r="E17" s="77"/>
      <x:c r="F17" s="77"/>
      <x:c r="G17" s="77"/>
      <x:c r="H17" s="77"/>
    </x:row>
    <x:row r="18">
      <x:c r="A18" s="85" t="str">
        <x:v>Intercom Fin for Sales</x:v>
      </x:c>
      <x:c r="B18" s="85" t="str">
        <x:v>$10 / qualified lead</x:v>
      </x:c>
      <x:c r="C18" s="85" t="str">
        <x:v>Không charge closed revenue khi attribution bị pha loãng</x:v>
      </x:c>
      <x:c r="D18" s="100" t="str">
        <x:v>https://www.intercom.com/blog/building-outcome-based-pricing-for-fin-for-sales/</x:v>
      </x:c>
      <x:c r="E18" s="77"/>
      <x:c r="F18" s="77"/>
      <x:c r="G18" s="77"/>
      <x:c r="H18" s="77"/>
    </x:row>
    <x:row r="19">
      <x:c r="A19" s="85" t="str">
        <x:v>Clay</x:v>
      </x:c>
      <x:c r="B19" s="85" t="str">
        <x:v>Hybrid: platform plans + actions / data credits</x:v>
      </x:c>
      <x:c r="C19" s="85" t="str">
        <x:v>Tách platform fee và usage unit; QAE là usage unit của RetourAI</x:v>
      </x:c>
      <x:c r="D19" s="100" t="str">
        <x:v>https://www.clay.com/pricing</x:v>
      </x:c>
      <x:c r="E19" s="77"/>
      <x:c r="F19" s="77"/>
      <x:c r="G19" s="77"/>
      <x:c r="H19" s="77"/>
    </x:row>
  </x:sheetData>
  <x:mergeCells>
    <x:mergeCell ref="A1:H1"/>
    <x:mergeCell ref="A2:H2"/>
    <x:mergeCell ref="A15:H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55A1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22" hidden="0" customWidth="1"/>
    <x:col min="4" max="4" width="20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76" t="str">
        <x:v>4. Channel Fit</x:v>
      </x:c>
      <x:c r="B1" s="77"/>
      <x:c r="C1" s="77"/>
      <x:c r="D1" s="77"/>
      <x:c r="E1" s="77"/>
      <x:c r="F1" s="77"/>
      <x:c r="G1" s="77"/>
      <x:c r="H1" s="77"/>
    </x:row>
    <x:row r="2" ht="24" customHeight="1">
      <x:c r="A2" s="78" t="str">
        <x:v>Chốt đúng 1 kênh trong 90 ngày: Sales-Led (design partner / paid pilot)</x:v>
      </x:c>
      <x:c r="B2" s="77"/>
      <x:c r="C2" s="77"/>
      <x:c r="D2" s="77"/>
      <x:c r="E2" s="77"/>
      <x:c r="F2" s="77"/>
      <x:c r="G2" s="77"/>
      <x:c r="H2" s="77"/>
    </x:row>
    <x:row r="3">
      <x:c r="A3" s="79"/>
      <x:c r="B3" s="79"/>
      <x:c r="C3" s="79"/>
      <x:c r="D3" s="79"/>
      <x:c r="E3" s="79"/>
      <x:c r="F3" s="79"/>
      <x:c r="G3" s="79"/>
      <x:c r="H3" s="79"/>
    </x:row>
    <x:row r="4">
      <x:c r="A4" s="77"/>
      <x:c r="B4" s="77"/>
      <x:c r="C4" s="77"/>
      <x:c r="D4" s="77"/>
      <x:c r="E4" s="77"/>
      <x:c r="F4" s="77"/>
      <x:c r="G4" s="77"/>
      <x:c r="H4" s="77"/>
    </x:row>
    <x:row r="5">
      <x:c r="A5" s="84" t="str">
        <x:v>Driver / test</x:v>
      </x:c>
      <x:c r="B5" s="84" t="str">
        <x:v>Giá trị</x:v>
      </x:c>
      <x:c r="C5" s="84" t="str">
        <x:v>Công thức / nguồn</x:v>
      </x:c>
      <x:c r="D5" s="84" t="str">
        <x:v>Kết luận</x:v>
      </x:c>
      <x:c r="E5" s="77"/>
      <x:c r="F5" s="77"/>
      <x:c r="G5" s="77"/>
      <x:c r="H5" s="77"/>
    </x:row>
    <x:row r="6">
      <x:c r="A6" s="85" t="str">
        <x:v>ARPU recurring / tháng</x:v>
      </x:c>
      <x:c r="B6" s="97" t="n">
        <x:f>399+'1_Cost_Job'!B16*'2_Pricing'!B10</x:f>
        <x:v>1431</x:v>
      </x:c>
      <x:c r="C6" s="85" t="str">
        <x:v>$399 + 800 QAE x $1.29</x:v>
      </x:c>
      <x:c r="D6" s="85" t="str"/>
      <x:c r="E6" s="77"/>
      <x:c r="F6" s="77"/>
      <x:c r="G6" s="77"/>
      <x:c r="H6" s="77"/>
    </x:row>
    <x:row r="7">
      <x:c r="A7" s="85" t="str">
        <x:v>Pilot implementation fee</x:v>
      </x:c>
      <x:c r="B7" s="96" t="n">
        <x:v>5000</x:v>
      </x:c>
      <x:c r="C7" s="85" t="str">
        <x:v>one-off; paid discovery &amp; integration</x:v>
      </x:c>
      <x:c r="D7" s="85" t="str"/>
      <x:c r="E7" s="77"/>
      <x:c r="F7" s="77"/>
      <x:c r="G7" s="77"/>
      <x:c r="H7" s="77"/>
    </x:row>
    <x:row r="8">
      <x:c r="A8" s="85" t="str">
        <x:v>ACV run-rate</x:v>
      </x:c>
      <x:c r="B8" s="97" t="n">
        <x:f>B6*12+B7</x:f>
        <x:v>22172</x:v>
      </x:c>
      <x:c r="C8" s="85" t="str">
        <x:v>annual recurring + pilot</x:v>
      </x:c>
      <x:c r="D8" s="85" t="str"/>
      <x:c r="E8" s="77"/>
      <x:c r="F8" s="77"/>
      <x:c r="G8" s="77"/>
      <x:c r="H8" s="77"/>
    </x:row>
    <x:row r="9">
      <x:c r="A9" s="85" t="str">
        <x:v>GM</x:v>
      </x:c>
      <x:c r="B9" s="97" t="n">
        <x:f>'2_Pricing'!B11</x:f>
        <x:v>0.6684234496124031</x:v>
      </x:c>
      <x:c r="C9" s="85" t="str">
        <x:v>fully-loaded GM</x:v>
      </x:c>
      <x:c r="D9" s="85" t="str"/>
      <x:c r="E9" s="77"/>
      <x:c r="F9" s="77"/>
      <x:c r="G9" s="77"/>
      <x:c r="H9" s="77"/>
    </x:row>
    <x:row r="10">
      <x:c r="A10" s="85" t="str">
        <x:v>Payback allowed</x:v>
      </x:c>
      <x:c r="B10" s="99" t="n">
        <x:v>18</x:v>
      </x:c>
      <x:c r="C10" s="85" t="str">
        <x:v>Bessemer 2024: mid-market good &lt;=18 months</x:v>
      </x:c>
      <x:c r="D10" s="85" t="str"/>
      <x:c r="E10" s="77"/>
      <x:c r="F10" s="77"/>
      <x:c r="G10" s="77"/>
      <x:c r="H10" s="77"/>
    </x:row>
    <x:row r="11">
      <x:c r="A11" s="85" t="str">
        <x:v>CAC budget</x:v>
      </x:c>
      <x:c r="B11" s="97" t="n">
        <x:f>B6*B9*B10</x:f>
        <x:v>17217.251215116277</x:v>
      </x:c>
      <x:c r="C11" s="85" t="str">
        <x:v>ARPU x GM x months</x:v>
      </x:c>
      <x:c r="D11" s="85" t="str"/>
      <x:c r="E11" s="77"/>
      <x:c r="F11" s="77"/>
      <x:c r="G11" s="77"/>
      <x:c r="H11" s="77"/>
    </x:row>
    <x:row r="12">
      <x:c r="A12" s="85" t="str">
        <x:v>Qualified opportunities / 90d</x:v>
      </x:c>
      <x:c r="B12" s="99" t="n">
        <x:v>15</x:v>
      </x:c>
      <x:c r="C12" s="85" t="str">
        <x:v>50 discovery calls x 30% qualification target</x:v>
      </x:c>
      <x:c r="D12" s="85" t="str"/>
      <x:c r="E12" s="77"/>
      <x:c r="F12" s="77"/>
      <x:c r="G12" s="77"/>
      <x:c r="H12" s="77"/>
    </x:row>
    <x:row r="13">
      <x:c r="A13" s="85" t="str">
        <x:v>Paid pilots / 90d</x:v>
      </x:c>
      <x:c r="B13" s="99" t="n">
        <x:v>6</x:v>
      </x:c>
      <x:c r="C13" s="85" t="str">
        <x:v>90-day plan target</x:v>
      </x:c>
      <x:c r="D13" s="85" t="str"/>
      <x:c r="E13" s="77"/>
      <x:c r="F13" s="77"/>
      <x:c r="G13" s="77"/>
      <x:c r="H13" s="77"/>
    </x:row>
    <x:row r="14">
      <x:c r="A14" s="85" t="str">
        <x:v>Win rate</x:v>
      </x:c>
      <x:c r="B14" s="95" t="n">
        <x:f>B13/B12</x:f>
        <x:v>0.4</x:v>
      </x:c>
      <x:c r="C14" s="85" t="str">
        <x:v>6 paid pilots / 15 qualified opportunities</x:v>
      </x:c>
      <x:c r="D14" s="85" t="str"/>
      <x:c r="E14" s="77"/>
      <x:c r="F14" s="77"/>
      <x:c r="G14" s="77"/>
      <x:c r="H14" s="77"/>
    </x:row>
    <x:row r="15">
      <x:c r="A15" s="85" t="str">
        <x:v>CPO ceiling</x:v>
      </x:c>
      <x:c r="B15" s="97" t="n">
        <x:f>B11*B14</x:f>
        <x:v>6886.900486046511</x:v>
      </x:c>
      <x:c r="C15" s="85" t="str">
        <x:v>CAC budget x target win rate; maximum allowed</x:v>
      </x:c>
      <x:c r="D15" s="85" t="str"/>
      <x:c r="E15" s="77"/>
      <x:c r="F15" s="77"/>
      <x:c r="G15" s="77"/>
      <x:c r="H15" s="77"/>
    </x:row>
    <x:row r="16">
      <x:c r="A16" s="85" t="str">
        <x:v>Planned CPO</x:v>
      </x:c>
      <x:c r="B16" s="96" t="n">
        <x:v>2500</x:v>
      </x:c>
      <x:c r="C16" s="85" t="str">
        <x:v>$37,500 90-day fully-loaded outreach cap / 15 qualified opps</x:v>
      </x:c>
      <x:c r="D16" s="85" t="str"/>
      <x:c r="E16" s="77"/>
      <x:c r="F16" s="77"/>
      <x:c r="G16" s="77"/>
      <x:c r="H16" s="77"/>
    </x:row>
    <x:row r="17">
      <x:c r="A17" s="85" t="str">
        <x:v>Estimated CAC</x:v>
      </x:c>
      <x:c r="B17" s="97" t="n">
        <x:f>B16/B14</x:f>
        <x:v>6250</x:v>
      </x:c>
      <x:c r="C17" s="85" t="str">
        <x:v>planned CPO / win rate</x:v>
      </x:c>
      <x:c r="D17" s="85" t="str"/>
      <x:c r="E17" s="77"/>
      <x:c r="F17" s="77"/>
      <x:c r="G17" s="77"/>
      <x:c r="H17" s="77"/>
    </x:row>
    <x:row r="18">
      <x:c r="A18" s="85" t="str">
        <x:v>CAC / budget</x:v>
      </x:c>
      <x:c r="B18" s="101" t="n">
        <x:f>B17/B11</x:f>
        <x:v>0.36300800411814116</x:v>
      </x:c>
      <x:c r="C18" s="85" t="str">
        <x:v>&lt;=1 affordable</x:v>
      </x:c>
      <x:c r="D18" s="85" t="str">
        <x:f>IF(B18&lt;=1,"🟩 affordable","🟥 gap")</x:f>
        <x:v>🟩 affordable</x:v>
      </x:c>
      <x:c r="E18" s="77"/>
      <x:c r="F18" s="77"/>
      <x:c r="G18" s="77"/>
      <x:c r="H18" s="77"/>
    </x:row>
    <x:row r="19">
      <x:c r="A19" s="85" t="str">
        <x:v>Deals / founder / working day</x:v>
      </x:c>
      <x:c r="B19" s="102" t="n">
        <x:f>B13/60</x:f>
        <x:v>0.1</x:v>
      </x:c>
      <x:c r="C19" s="85" t="str">
        <x:v>6 paid pilots / 60 selling days</x:v>
      </x:c>
      <x:c r="D19" s="85" t="str">
        <x:f>IF(B19&lt;=1,"🟩 feasible","🟥 impossible")</x:f>
        <x:v>🟩 feasible</x:v>
      </x:c>
      <x:c r="E19" s="77"/>
      <x:c r="F19" s="77"/>
      <x:c r="G19" s="77"/>
      <x:c r="H19" s="77"/>
    </x:row>
    <x:row r="20">
      <x:c r="A20" s="80" t="str">
        <x:v>Channel scorecard - chọn 1 kênh</x:v>
      </x:c>
      <x:c r="B20" s="77"/>
      <x:c r="C20" s="77"/>
      <x:c r="D20" s="77"/>
      <x:c r="E20" s="77"/>
      <x:c r="F20" s="77"/>
      <x:c r="G20" s="77"/>
      <x:c r="H20" s="77"/>
    </x:row>
    <x:row r="21">
      <x:c r="A21" s="84" t="str">
        <x:v>Tiêu chí</x:v>
      </x:c>
      <x:c r="B21" s="84" t="str">
        <x:v>PLG</x:v>
      </x:c>
      <x:c r="C21" s="84" t="str">
        <x:v>Sales-Led</x:v>
      </x:c>
      <x:c r="D21" s="84" t="str">
        <x:v>Partner-Led</x:v>
      </x:c>
      <x:c r="E21" s="84" t="str">
        <x:v>Cơ sở chấm (1-5)</x:v>
      </x:c>
      <x:c r="F21" s="77"/>
      <x:c r="G21" s="77"/>
      <x:c r="H21" s="77"/>
    </x:row>
    <x:row r="22">
      <x:c r="A22" s="85" t="str">
        <x:v>ARPU / ACV fit</x:v>
      </x:c>
      <x:c r="B22" s="85" t="n">
        <x:v>2</x:v>
      </x:c>
      <x:c r="C22" s="85" t="n">
        <x:v>5</x:v>
      </x:c>
      <x:c r="D22" s="85" t="n">
        <x:v>3</x:v>
      </x:c>
      <x:c r="E22" s="85" t="str">
        <x:v>ACV ~$22k trả được 1 AE</x:v>
      </x:c>
      <x:c r="F22" s="77"/>
      <x:c r="G22" s="77"/>
      <x:c r="H22" s="77"/>
    </x:row>
    <x:row r="23">
      <x:c r="A23" s="85" t="str">
        <x:v>Độ phức tạp triển khai</x:v>
      </x:c>
      <x:c r="B23" s="85" t="n">
        <x:v>2</x:v>
      </x:c>
      <x:c r="C23" s="85" t="n">
        <x:v>5</x:v>
      </x:c>
      <x:c r="D23" s="85" t="n">
        <x:v>4</x:v>
      </x:c>
      <x:c r="E23" s="85" t="str">
        <x:v>Cần KB + workflow + order access</x:v>
      </x:c>
      <x:c r="F23" s="77"/>
      <x:c r="G23" s="77"/>
      <x:c r="H23" s="77"/>
    </x:row>
    <x:row r="24">
      <x:c r="A24" s="85" t="str">
        <x:v>Attribution / pilot learning</x:v>
      </x:c>
      <x:c r="B24" s="85" t="n">
        <x:v>3</x:v>
      </x:c>
      <x:c r="C24" s="85" t="n">
        <x:v>5</x:v>
      </x:c>
      <x:c r="D24" s="85" t="n">
        <x:v>3</x:v>
      </x:c>
      <x:c r="E24" s="85" t="str">
        <x:v>Pilot có scorecard và owner</x:v>
      </x:c>
      <x:c r="F24" s="77"/>
      <x:c r="G24" s="77"/>
      <x:c r="H24" s="77"/>
    </x:row>
    <x:row r="25">
      <x:c r="A25" s="85" t="str">
        <x:v>Tốc độ đạt 3 design partners</x:v>
      </x:c>
      <x:c r="B25" s="85" t="n">
        <x:v>3</x:v>
      </x:c>
      <x:c r="C25" s="85" t="n">
        <x:v>4</x:v>
      </x:c>
      <x:c r="D25" s="85" t="n">
        <x:v>2</x:v>
      </x:c>
      <x:c r="E25" s="85" t="str">
        <x:v>Founder-led outbound nhanh hơn chờ partner</x:v>
      </x:c>
      <x:c r="F25" s="77"/>
      <x:c r="G25" s="77"/>
      <x:c r="H25" s="77"/>
    </x:row>
    <x:row r="26">
      <x:c r="A26" s="77" t="str">
        <x:v>Tổng</x:v>
      </x:c>
      <x:c r="B26" s="77" t="n">
        <x:f>SUM(B22:B25)</x:f>
        <x:v>10</x:v>
      </x:c>
      <x:c r="C26" s="77" t="n">
        <x:f>SUM(C22:C25)</x:f>
        <x:v>19</x:v>
      </x:c>
      <x:c r="D26" s="77" t="n">
        <x:f>SUM(D22:D25)</x:f>
        <x:v>12</x:v>
      </x:c>
      <x:c r="E26" s="77" t="str">
        <x:v>Kênh chốt = Sales-Led</x:v>
      </x:c>
      <x:c r="F26" s="77"/>
      <x:c r="G26" s="77"/>
      <x:c r="H26" s="77"/>
    </x:row>
    <x:row r="27">
      <x:c r="A27" s="84" t="str">
        <x:v>Kênh duy nhất</x:v>
      </x:c>
      <x:c r="B27" s="84" t="str">
        <x:v>Pain Moment</x:v>
      </x:c>
      <x:c r="C27" s="84" t="str">
        <x:v>Điểm nhúng</x:v>
      </x:c>
      <x:c r="D27" s="84" t="str">
        <x:v>Thông điệp bán</x:v>
      </x:c>
      <x:c r="E27" s="77"/>
      <x:c r="F27" s="77"/>
      <x:c r="G27" s="77"/>
      <x:c r="H27" s="77"/>
    </x:row>
    <x:row r="28">
      <x:c r="A28" s="103" t="str">
        <x:v>Sales-Led - founder-led paid pilot</x:v>
      </x:c>
      <x:c r="B28" s="103" t="str">
        <x:v>20:00 giờ Hà Nội; sau flash-sale, CX lead xử lý tồn đổi trả và WISMO; đang ở Gorgias</x:v>
      </x:c>
      <x:c r="C28" s="103" t="str">
        <x:v>Gorgias sidebar + Shopify Admin order lookup; không mở tab mới</x:v>
      </x:c>
      <x:c r="D28" s="103" t="str">
        <x:v>'Platform + $1.29/QAE; QAE audit được theo ticket ID và credit 100% nếu handoff trong 7 ngày.'</x:v>
      </x:c>
      <x:c r="E28" s="77"/>
      <x:c r="F28" s="77"/>
      <x:c r="G28" s="77"/>
      <x:c r="H28" s="77"/>
    </x:row>
    <x:row r="29">
      <x:c r="A29" s="103" t="str">
        <x:v>Tập khách đầu tiên</x:v>
      </x:c>
      <x:c r="B29" s="103" t="str">
        <x:v>10 D2C brands dùng Shopify + Gorgias, 500-2,000 tickets/tháng</x:v>
      </x:c>
      <x:c r="C29" s="103" t="str">
        <x:v>Danh sách founder tự research, không mua lead</x:v>
      </x:c>
      <x:c r="D29" s="103" t="str">
        <x:v>3 design partners trong 90 ngày</x:v>
      </x:c>
      <x:c r="E29" s="77"/>
      <x:c r="F29" s="77"/>
      <x:c r="G29" s="77"/>
      <x:c r="H29" s="77"/>
    </x:row>
    <x:row r="30">
      <x:c r="A30" s="103" t="str">
        <x:v>Reality check</x:v>
      </x:c>
      <x:c r="B30" s="103" t="str">
        <x:v>Không chạy PLG/Partner-Led song song</x:v>
      </x:c>
      <x:c r="C30" s="103" t="str">
        <x:v>Đầu tư duy nhất: 50 discovery calls -&gt; 15 qualified -&gt; 6 paid pilots</x:v>
      </x:c>
      <x:c r="D30" s="103" t="str">
        <x:v>Nếu win rate &lt;40%, không scale outreach; sửa ICP/offer</x:v>
      </x:c>
      <x:c r="E30" s="77"/>
      <x:c r="F30" s="77"/>
      <x:c r="G30" s="77"/>
      <x:c r="H30" s="77"/>
    </x:row>
    <x:row r="31">
      <x:c r="A31" s="103"/>
      <x:c r="B31" s="103"/>
      <x:c r="C31" s="103"/>
      <x:c r="D31" s="103"/>
      <x:c r="E31" s="77"/>
      <x:c r="F31" s="77"/>
      <x:c r="G31" s="77"/>
      <x:c r="H31" s="77"/>
    </x:row>
  </x:sheetData>
  <x:mergeCells>
    <x:mergeCell ref="A1:H1"/>
    <x:mergeCell ref="A2:H2"/>
    <x:mergeCell ref="A20:H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F60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22" hidden="0" customWidth="1"/>
    <x:col min="4" max="4" width="20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76" t="str">
        <x:v>5. 90-Day Plan và Evidence Pack</x:v>
      </x:c>
      <x:c r="B1" s="77"/>
      <x:c r="C1" s="77"/>
      <x:c r="D1" s="77"/>
      <x:c r="E1" s="77"/>
      <x:c r="F1" s="77"/>
      <x:c r="G1" s="77"/>
      <x:c r="H1" s="77"/>
    </x:row>
    <x:row r="2" ht="24" customHeight="1">
      <x:c r="A2" s="78" t="str">
        <x:v>Tháng 1 học trước; không scale khi chưa qua pilot gate</x:v>
      </x:c>
      <x:c r="B2" s="77"/>
      <x:c r="C2" s="77"/>
      <x:c r="D2" s="77"/>
      <x:c r="E2" s="77"/>
      <x:c r="F2" s="77"/>
      <x:c r="G2" s="77"/>
      <x:c r="H2" s="77"/>
    </x:row>
    <x:row r="3">
      <x:c r="A3" s="79"/>
      <x:c r="B3" s="79"/>
      <x:c r="C3" s="79"/>
      <x:c r="D3" s="79"/>
      <x:c r="E3" s="79"/>
      <x:c r="F3" s="79"/>
      <x:c r="G3" s="79"/>
      <x:c r="H3" s="79"/>
    </x:row>
    <x:row r="4">
      <x:c r="A4" s="77"/>
      <x:c r="B4" s="77"/>
      <x:c r="C4" s="77"/>
      <x:c r="D4" s="77"/>
      <x:c r="E4" s="77"/>
      <x:c r="F4" s="77"/>
      <x:c r="G4" s="77"/>
      <x:c r="H4" s="77"/>
    </x:row>
    <x:row r="5">
      <x:c r="A5" s="84" t="str">
        <x:v>Tháng</x:v>
      </x:c>
      <x:c r="B5" s="84" t="str">
        <x:v>Mục tiêu học / làm</x:v>
      </x:c>
      <x:c r="C5" s="84" t="str">
        <x:v>KPI có ngưỡng</x:v>
      </x:c>
      <x:c r="D5" s="84" t="str">
        <x:v>Owner</x:v>
      </x:c>
      <x:c r="E5" s="84" t="str">
        <x:v>Decision gate</x:v>
      </x:c>
      <x:c r="F5" s="84" t="str">
        <x:v>Status</x:v>
      </x:c>
      <x:c r="G5" s="77"/>
      <x:c r="H5" s="77"/>
    </x:row>
    <x:row r="6">
      <x:c r="A6" s="103" t="str">
        <x:v>1 - Learn</x:v>
      </x:c>
      <x:c r="B6" s="103" t="str">
        <x:v>20 discovery calls; 3 LOI; instrument QAE, handoff, no-follow-up; obtain 3 BPO quotes and baseline human handling</x:v>
      </x:c>
      <x:c r="C6" s="103" t="str">
        <x:v>20 calls; &gt;=3 LOI; 100% tickets có event log; 3 vendor quotes</x:v>
      </x:c>
      <x:c r="D6" s="103" t="str">
        <x:v>Vu Quang Tien - Founder</x:v>
      </x:c>
      <x:c r="E6" s="103" t="str">
        <x:v>Không đạt 3 LOI: revise ICP / job, chưa mua lead</x:v>
      </x:c>
      <x:c r="F6" s="103" t="str">
        <x:v>Planned</x:v>
      </x:c>
      <x:c r="G6" s="77"/>
      <x:c r="H6" s="77"/>
    </x:row>
    <x:row r="7">
      <x:c r="A7" s="103" t="str">
        <x:v>2 - Validate</x:v>
      </x:c>
      <x:c r="B7" s="103" t="str">
        <x:v>6 paid pilots; weekly eval 50 tickets/account; tune KB/workflow; invoice QAE after credit window</x:v>
      </x:c>
      <x:c r="C7" s="103" t="str">
        <x:v>Containment &gt;= threshold Pricing!B31; QA pass &gt;=90%; escalation &lt;=6 min</x:v>
      </x:c>
      <x:c r="D7" s="103" t="str">
        <x:v>Vu Quang Tien + Solutions</x:v>
      </x:c>
      <x:c r="E7" s="103" t="str">
        <x:v>Fail 2 tuần liên tiếp: pause usage tier, sell fixed-scope pilot</x:v>
      </x:c>
      <x:c r="F7" s="103" t="str">
        <x:v>Planned</x:v>
      </x:c>
      <x:c r="G7" s="77"/>
      <x:c r="H7" s="77"/>
    </x:row>
    <x:row r="8">
      <x:c r="A8" s="103" t="str">
        <x:v>3 - Prove</x:v>
      </x:c>
      <x:c r="B8" s="103" t="str">
        <x:v>Convert 3 pilot to annual; publish pilot report; 10 new qualified meetings</x:v>
      </x:c>
      <x:c r="C8" s="103" t="str">
        <x:v>3 conversions; GM &gt;=60%; win rate &gt;=40%</x:v>
      </x:c>
      <x:c r="D8" s="103" t="str">
        <x:v>Vu Quang Tien - Founder</x:v>
      </x:c>
      <x:c r="E8" s="103" t="str">
        <x:v>Pass: repeat Sales-Led playbook; fail: narrow workflow</x:v>
      </x:c>
      <x:c r="F8" s="103" t="str">
        <x:v>Planned</x:v>
      </x:c>
      <x:c r="G8" s="77"/>
      <x:c r="H8" s="77"/>
    </x:row>
    <x:row r="9">
      <x:c r="A9" s="103"/>
      <x:c r="B9" s="103"/>
      <x:c r="C9" s="103"/>
      <x:c r="D9" s="103"/>
      <x:c r="E9" s="103"/>
      <x:c r="F9" s="103"/>
      <x:c r="G9" s="77"/>
      <x:c r="H9" s="77"/>
    </x:row>
    <x:row r="10">
      <x:c r="A10" s="77"/>
      <x:c r="B10" s="77"/>
      <x:c r="C10" s="77"/>
      <x:c r="D10" s="77"/>
      <x:c r="E10" s="77"/>
      <x:c r="F10" s="77"/>
      <x:c r="G10" s="77"/>
      <x:c r="H10" s="77"/>
    </x:row>
    <x:row r="11">
      <x:c r="A11" s="80" t="str">
        <x:v>Evidence Pack - Procurement mua sự an tâm, không mua demo</x:v>
      </x:c>
      <x:c r="B11" s="77"/>
      <x:c r="C11" s="77"/>
      <x:c r="D11" s="77"/>
      <x:c r="E11" s="77"/>
      <x:c r="F11" s="77"/>
      <x:c r="G11" s="77"/>
      <x:c r="H11" s="77"/>
    </x:row>
    <x:row r="12">
      <x:c r="A12" s="84" t="str">
        <x:v>Asset</x:v>
      </x:c>
      <x:c r="B12" s="84" t="str">
        <x:v>Nội dung cụ thể</x:v>
      </x:c>
      <x:c r="C12" s="84" t="str">
        <x:v>Owner</x:v>
      </x:c>
      <x:c r="D12" s="84" t="str">
        <x:v>Deadline</x:v>
      </x:c>
      <x:c r="E12" s="84" t="str">
        <x:v>Definition of done</x:v>
      </x:c>
      <x:c r="F12" s="84" t="str">
        <x:v>Trạng thái</x:v>
      </x:c>
      <x:c r="G12" s="77"/>
      <x:c r="H12" s="77"/>
    </x:row>
    <x:row r="13">
      <x:c r="A13" s="103" t="str">
        <x:v>Eval Results</x:v>
      </x:c>
      <x:c r="B13" s="103" t="str">
        <x:v>50-ticket/tuần/account; QAE event log, resolution accuracy, containment, false positive, handoff reason; slice đổi trả vs WISMO</x:v>
      </x:c>
      <x:c r="C13" s="103" t="str">
        <x:v>Founder</x:v>
      </x:c>
      <x:c r="D13" s="103" t="str">
        <x:v>Day 30</x:v>
      </x:c>
      <x:c r="E13" s="103" t="str">
        <x:v>CSV + methodology + signed rubric + ticket ID/action/handoff/timestamp; no cherry-picking</x:v>
      </x:c>
      <x:c r="F13" s="103" t="str">
        <x:v>Chưa có - phải tạo</x:v>
      </x:c>
      <x:c r="G13" s="77"/>
      <x:c r="H13" s="77"/>
    </x:row>
    <x:row r="14">
      <x:c r="A14" s="103" t="str">
        <x:v>Procurement Q&amp;A</x:v>
      </x:c>
      <x:c r="B14" s="103" t="str">
        <x:v>Data flow, DPA, retention/deletion, model training opt-out, access control, incident SLA, human escalation</x:v>
      </x:c>
      <x:c r="C14" s="103" t="str">
        <x:v>Founder</x:v>
      </x:c>
      <x:c r="D14" s="103" t="str">
        <x:v>Day 45</x:v>
      </x:c>
      <x:c r="E14" s="103" t="str">
        <x:v>v1 PDF trả lời 12 câu; legal review marker</x:v>
      </x:c>
      <x:c r="F14" s="103" t="str">
        <x:v>Chưa có - phải tạo</x:v>
      </x:c>
      <x:c r="G14" s="77"/>
      <x:c r="H14" s="77"/>
    </x:row>
    <x:row r="15">
      <x:c r="A15" s="103" t="str">
        <x:v>Pilot Report</x:v>
      </x:c>
      <x:c r="B15" s="103" t="str">
        <x:v>Baseline vs AI: QAE, containment, QA, credit rate, time saved, Cost/Job, incidents, customer quote approval</x:v>
      </x:c>
      <x:c r="C15" s="103" t="str">
        <x:v>Founder</x:v>
      </x:c>
      <x:c r="D15" s="103" t="str">
        <x:v>Day 75</x:v>
      </x:c>
      <x:c r="E15" s="103" t="str">
        <x:v>1 anonymised report + customer approval status</x:v>
      </x:c>
      <x:c r="F15" s="103" t="str">
        <x:v>Chưa có - phải tạo</x:v>
      </x:c>
      <x:c r="G15" s="77"/>
      <x:c r="H15" s="77"/>
    </x:row>
    <x:row r="16">
      <x:c r="A16" s="77"/>
      <x:c r="B16" s="77"/>
      <x:c r="C16" s="77"/>
      <x:c r="D16" s="77"/>
      <x:c r="E16" s="77"/>
      <x:c r="F16" s="77"/>
      <x:c r="G16" s="77"/>
      <x:c r="H16" s="77"/>
    </x:row>
    <x:row r="17">
      <x:c r="A17" s="80" t="str">
        <x:v>Prompt critique log - AI là công cụ critique, quyết định cuối cùng do người làm</x:v>
      </x:c>
      <x:c r="B17" s="77"/>
      <x:c r="C17" s="77"/>
      <x:c r="D17" s="77"/>
      <x:c r="E17" s="77"/>
      <x:c r="F17" s="77"/>
      <x:c r="G17" s="77"/>
      <x:c r="H17" s="77"/>
    </x:row>
    <x:row r="18">
      <x:c r="A18" s="84" t="str">
        <x:v>Prompt dùng</x:v>
      </x:c>
      <x:c r="B18" s="84" t="str">
        <x:v>Kết quả critique</x:v>
      </x:c>
      <x:c r="C18" s="84" t="str">
        <x:v>Accept / Reject</x:v>
      </x:c>
      <x:c r="D18" s="84" t="str">
        <x:v>Sửa sau critique</x:v>
      </x:c>
      <x:c r="E18" s="77"/>
      <x:c r="F18" s="77"/>
      <x:c r="G18" s="77"/>
      <x:c r="H18" s="77"/>
    </x:row>
    <x:row r="19">
      <x:c r="A19" s="85" t="str">
        <x:v>Cost/Job Stress Test</x:v>
      </x:c>
      <x:c r="B19" s="85" t="str">
        <x:v>Nhắc kiểm tra mẫu số resolved, retry và escalation B</x:v>
      </x:c>
      <x:c r="C19" s="85" t="str">
        <x:v>Accept</x:v>
      </x:c>
      <x:c r="D19" s="85" t="str">
        <x:v>Đưa overhead $140 và ngưỡng GM 60% vào model</x:v>
      </x:c>
      <x:c r="E19" s="77"/>
      <x:c r="F19" s="77"/>
      <x:c r="G19" s="77"/>
      <x:c r="H19" s="77"/>
    </x:row>
    <x:row r="20">
      <x:c r="A20" s="85" t="str">
        <x:v>Channel Reality Check</x:v>
      </x:c>
      <x:c r="B20" s="85" t="str">
        <x:v>Sales motion phải sống bằng CAC budget, không chọn theo sở thích</x:v>
      </x:c>
      <x:c r="C20" s="85" t="str">
        <x:v>Accept</x:v>
      </x:c>
      <x:c r="D20" s="85" t="str">
        <x:v>Thêm paid pilot $5k và gate CAC/budget</x:v>
      </x:c>
      <x:c r="E20" s="77"/>
      <x:c r="F20" s="77"/>
      <x:c r="G20" s="77"/>
      <x:c r="H20" s="77"/>
    </x:row>
    <x:row r="21">
      <x:c r="A21" s="77" t="str">
        <x:v>Value Metric Challenge</x:v>
      </x:c>
      <x:c r="B21" s="77" t="str">
        <x:v>Outcome chỉ hợp lệ nếu no-follow-up attribution audit được</x:v>
      </x:c>
      <x:c r="C21" s="77" t="str">
        <x:v>Accept</x:v>
      </x:c>
      <x:c r="D21" s="77" t="str">
        <x:v>Đặt 7-day no-follow-up + event log + pilot gate</x:v>
      </x:c>
      <x:c r="E21" s="77"/>
      <x:c r="F21" s="77"/>
      <x:c r="G21" s="77"/>
      <x:c r="H21" s="77"/>
    </x:row>
    <x:row r="22">
      <x:c r="A22" s="80" t="str">
        <x:v>Nguồn và ngày kiểm tra giá</x:v>
      </x:c>
      <x:c r="B22" s="77"/>
      <x:c r="C22" s="77"/>
      <x:c r="D22" s="77"/>
      <x:c r="E22" s="77"/>
      <x:c r="F22" s="77"/>
      <x:c r="G22" s="77"/>
      <x:c r="H22" s="77"/>
    </x:row>
    <x:row r="23">
      <x:c r="A23" s="84" t="str">
        <x:v>Nguồn</x:v>
      </x:c>
      <x:c r="B23" s="84" t="str">
        <x:v>Dùng cho</x:v>
      </x:c>
      <x:c r="C23" s="84" t="str">
        <x:v>Ngày kiểm tra</x:v>
      </x:c>
      <x:c r="D23" s="84" t="str">
        <x:v>URL</x:v>
      </x:c>
      <x:c r="E23" s="77"/>
      <x:c r="F23" s="77"/>
      <x:c r="G23" s="77"/>
      <x:c r="H23" s="77"/>
    </x:row>
    <x:row r="24">
      <x:c r="A24" s="85" t="str">
        <x:v>Anthropic Pricing</x:v>
      </x:c>
      <x:c r="B24" s="85" t="str">
        <x:v>Claude Haiku 5.5 input/output/cache; batch -50%</x:v>
      </x:c>
      <x:c r="C24" s="85" t="str">
        <x:v>08/10/2026</x:v>
      </x:c>
      <x:c r="D24" s="100" t="str">
        <x:v>https://platform.claude.com/docs/en/about-claude/pricing</x:v>
      </x:c>
      <x:c r="E24" s="77"/>
      <x:c r="F24" s="77"/>
      <x:c r="G24" s="77"/>
      <x:c r="H24" s="77"/>
    </x:row>
    <x:row r="25">
      <x:c r="A25" s="85" t="str">
        <x:v>Intercom Fin outcomes</x:v>
      </x:c>
      <x:c r="B25" s="85" t="str">
        <x:v>$0.99/resolution benchmark; definition resolution</x:v>
      </x:c>
      <x:c r="C25" s="85" t="str">
        <x:v>08/10/2026</x:v>
      </x:c>
      <x:c r="D25" s="100" t="str">
        <x:v>https://www.intercom.com/help/en/articles/8205718-fin-ai-agent-outcomes</x:v>
      </x:c>
      <x:c r="E25" s="77"/>
      <x:c r="F25" s="77"/>
      <x:c r="G25" s="77"/>
      <x:c r="H25" s="77"/>
    </x:row>
    <x:row r="26">
      <x:c r="A26" s="85" t="str">
        <x:v>Clay Pricing</x:v>
      </x:c>
      <x:c r="B26" s="85" t="str">
        <x:v>Hybrid platform + usage benchmark</x:v>
      </x:c>
      <x:c r="C26" s="85" t="str">
        <x:v>08/10/2026</x:v>
      </x:c>
      <x:c r="D26" s="100" t="str">
        <x:v>https://www.clay.com/pricing</x:v>
      </x:c>
      <x:c r="E26" s="77"/>
      <x:c r="F26" s="77"/>
      <x:c r="G26" s="77"/>
      <x:c r="H26" s="77"/>
    </x:row>
    <x:row r="27">
      <x:c r="A27" s="85" t="str">
        <x:v>Bessemer CAC Payback</x:v>
      </x:c>
      <x:c r="B27" s="85" t="str">
        <x:v>Mid-market good &lt;=18 months</x:v>
      </x:c>
      <x:c r="C27" s="85" t="str">
        <x:v>08/10/2026</x:v>
      </x:c>
      <x:c r="D27" s="100" t="str">
        <x:v>https://www.bvp.com/assets/uploads/2024/04/From-Start-to-Centaur-The-founders-roadmap-to-100-million-ARR-Bessemer-Books-Edition-040924.pdf</x:v>
      </x:c>
      <x:c r="E27" s="77"/>
      <x:c r="F27" s="77"/>
      <x:c r="G27" s="77"/>
      <x:c r="H27" s="77"/>
    </x:row>
    <x:row r="28">
      <x:c r="A28" s="85" t="str">
        <x:v>Internal validation plan</x:v>
      </x:c>
      <x:c r="B28" s="85" t="str">
        <x:v>$6/ticket, $9/h and $140/month: 3 BPO quotes + invoices</x:v>
      </x:c>
      <x:c r="C28" s="85" t="str">
        <x:v>Day 14</x:v>
      </x:c>
      <x:c r="D28" s="85" t="str">
        <x:v>Store quotes + invoices in pilot folder</x:v>
      </x:c>
      <x:c r="E28" s="77"/>
      <x:c r="F28" s="77"/>
      <x:c r="G28" s="77"/>
      <x:c r="H28" s="77"/>
    </x:row>
  </x:sheetData>
  <x:mergeCells>
    <x:mergeCell ref="A1:H1"/>
    <x:mergeCell ref="A2:H2"/>
    <x:mergeCell ref="A11:H11"/>
    <x:mergeCell ref="A17:H17"/>
    <x:mergeCell ref="A22:H22"/>
  </x:mergeCells>
  <x:pageMargins left="0.7" right="0.7" top="0.75" bottom="0.75" header="0.3" footer="0.3"/>
</x:worksheet>
</file>